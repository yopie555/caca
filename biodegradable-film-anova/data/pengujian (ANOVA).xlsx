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 S\Documents\Skripsi khansa\"/>
    </mc:Choice>
  </mc:AlternateContent>
  <xr:revisionPtr revIDLastSave="0" documentId="8_{37F43531-D4BE-4736-B7A6-703AF42BB36A}" xr6:coauthVersionLast="47" xr6:coauthVersionMax="47" xr10:uidLastSave="{00000000-0000-0000-0000-000000000000}"/>
  <bookViews>
    <workbookView xWindow="-120" yWindow="-120" windowWidth="20730" windowHeight="11160" xr2:uid="{86EC5B7E-7356-44BD-9C8A-6FDD9B5209AB}"/>
  </bookViews>
  <sheets>
    <sheet name="Kelarutan Matriks" sheetId="1" r:id="rId1"/>
    <sheet name="Opasitas" sheetId="2" r:id="rId2"/>
    <sheet name="Solubilitas" sheetId="3" r:id="rId3"/>
    <sheet name="WVTR" sheetId="4" r:id="rId4"/>
    <sheet name="UTS &amp; elong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5" l="1"/>
  <c r="G55" i="5"/>
  <c r="E55" i="5"/>
  <c r="D55" i="5"/>
  <c r="H52" i="5"/>
  <c r="G52" i="5"/>
  <c r="E52" i="5"/>
  <c r="D52" i="5"/>
  <c r="H49" i="5"/>
  <c r="G49" i="5"/>
  <c r="E49" i="5"/>
  <c r="D49" i="5"/>
  <c r="H46" i="5"/>
  <c r="G46" i="5"/>
  <c r="E46" i="5"/>
  <c r="D46" i="5"/>
  <c r="H43" i="5"/>
  <c r="G43" i="5"/>
  <c r="E43" i="5"/>
  <c r="D43" i="5"/>
  <c r="H40" i="5"/>
  <c r="G40" i="5"/>
  <c r="E40" i="5"/>
  <c r="D40" i="5"/>
  <c r="H37" i="5"/>
  <c r="G37" i="5"/>
  <c r="E37" i="5"/>
  <c r="D37" i="5"/>
  <c r="H34" i="5"/>
  <c r="G34" i="5"/>
  <c r="E34" i="5"/>
  <c r="D34" i="5"/>
  <c r="H31" i="5"/>
  <c r="G31" i="5"/>
  <c r="E31" i="5"/>
  <c r="D31" i="5"/>
  <c r="H24" i="5"/>
  <c r="G24" i="5"/>
  <c r="E24" i="5"/>
  <c r="D24" i="5"/>
  <c r="H21" i="5"/>
  <c r="G21" i="5"/>
  <c r="E21" i="5"/>
  <c r="D21" i="5"/>
  <c r="H18" i="5"/>
  <c r="G18" i="5"/>
  <c r="E18" i="5"/>
  <c r="D18" i="5"/>
  <c r="H15" i="5"/>
  <c r="G15" i="5"/>
  <c r="E15" i="5"/>
  <c r="D15" i="5"/>
  <c r="H12" i="5"/>
  <c r="G12" i="5"/>
  <c r="E12" i="5"/>
  <c r="D12" i="5"/>
  <c r="H9" i="5"/>
  <c r="G9" i="5"/>
  <c r="E9" i="5"/>
  <c r="D9" i="5"/>
  <c r="H6" i="5"/>
  <c r="G6" i="5"/>
  <c r="E6" i="5"/>
  <c r="D6" i="5"/>
  <c r="H3" i="5"/>
  <c r="G3" i="5"/>
  <c r="E3" i="5"/>
  <c r="D3" i="5"/>
  <c r="J56" i="4"/>
  <c r="D56" i="4"/>
  <c r="K56" i="4" s="1"/>
  <c r="J55" i="4"/>
  <c r="K55" i="4" s="1"/>
  <c r="D55" i="4"/>
  <c r="J54" i="4"/>
  <c r="D54" i="4"/>
  <c r="K54" i="4" s="1"/>
  <c r="J53" i="4"/>
  <c r="K53" i="4" s="1"/>
  <c r="D53" i="4"/>
  <c r="J52" i="4"/>
  <c r="D52" i="4"/>
  <c r="K52" i="4" s="1"/>
  <c r="J51" i="4"/>
  <c r="K51" i="4" s="1"/>
  <c r="D51" i="4"/>
  <c r="J50" i="4"/>
  <c r="D50" i="4"/>
  <c r="K50" i="4" s="1"/>
  <c r="J49" i="4"/>
  <c r="K49" i="4" s="1"/>
  <c r="D49" i="4"/>
  <c r="J48" i="4"/>
  <c r="D48" i="4"/>
  <c r="K48" i="4" s="1"/>
  <c r="J47" i="4"/>
  <c r="K47" i="4" s="1"/>
  <c r="D47" i="4"/>
  <c r="J46" i="4"/>
  <c r="D46" i="4"/>
  <c r="K46" i="4" s="1"/>
  <c r="J45" i="4"/>
  <c r="K45" i="4" s="1"/>
  <c r="D45" i="4"/>
  <c r="J44" i="4"/>
  <c r="D44" i="4"/>
  <c r="K44" i="4" s="1"/>
  <c r="J43" i="4"/>
  <c r="K43" i="4" s="1"/>
  <c r="D43" i="4"/>
  <c r="J42" i="4"/>
  <c r="D42" i="4"/>
  <c r="K42" i="4" s="1"/>
  <c r="J41" i="4"/>
  <c r="K41" i="4" s="1"/>
  <c r="D41" i="4"/>
  <c r="J40" i="4"/>
  <c r="D40" i="4"/>
  <c r="K40" i="4" s="1"/>
  <c r="J39" i="4"/>
  <c r="K39" i="4" s="1"/>
  <c r="D39" i="4"/>
  <c r="J38" i="4"/>
  <c r="D38" i="4"/>
  <c r="K38" i="4" s="1"/>
  <c r="J37" i="4"/>
  <c r="K37" i="4" s="1"/>
  <c r="D37" i="4"/>
  <c r="J36" i="4"/>
  <c r="D36" i="4"/>
  <c r="K36" i="4" s="1"/>
  <c r="J35" i="4"/>
  <c r="K35" i="4" s="1"/>
  <c r="D35" i="4"/>
  <c r="J34" i="4"/>
  <c r="D34" i="4"/>
  <c r="K34" i="4" s="1"/>
  <c r="J33" i="4"/>
  <c r="K33" i="4" s="1"/>
  <c r="D33" i="4"/>
  <c r="J32" i="4"/>
  <c r="D32" i="4"/>
  <c r="K32" i="4" s="1"/>
  <c r="J31" i="4"/>
  <c r="K31" i="4" s="1"/>
  <c r="D31" i="4"/>
  <c r="J30" i="4"/>
  <c r="D30" i="4"/>
  <c r="K30" i="4" s="1"/>
  <c r="J26" i="4"/>
  <c r="K26" i="4" s="1"/>
  <c r="D26" i="4"/>
  <c r="J25" i="4"/>
  <c r="D25" i="4"/>
  <c r="K25" i="4" s="1"/>
  <c r="J24" i="4"/>
  <c r="K24" i="4" s="1"/>
  <c r="D24" i="4"/>
  <c r="J23" i="4"/>
  <c r="D23" i="4"/>
  <c r="K23" i="4" s="1"/>
  <c r="J22" i="4"/>
  <c r="K22" i="4" s="1"/>
  <c r="D22" i="4"/>
  <c r="J21" i="4"/>
  <c r="D21" i="4"/>
  <c r="K21" i="4" s="1"/>
  <c r="J20" i="4"/>
  <c r="K20" i="4" s="1"/>
  <c r="D20" i="4"/>
  <c r="J19" i="4"/>
  <c r="D19" i="4"/>
  <c r="K19" i="4" s="1"/>
  <c r="J18" i="4"/>
  <c r="K18" i="4" s="1"/>
  <c r="D18" i="4"/>
  <c r="J17" i="4"/>
  <c r="D17" i="4"/>
  <c r="K17" i="4" s="1"/>
  <c r="J16" i="4"/>
  <c r="K16" i="4" s="1"/>
  <c r="D16" i="4"/>
  <c r="J15" i="4"/>
  <c r="D15" i="4"/>
  <c r="K15" i="4" s="1"/>
  <c r="J14" i="4"/>
  <c r="K14" i="4" s="1"/>
  <c r="D14" i="4"/>
  <c r="J13" i="4"/>
  <c r="D13" i="4"/>
  <c r="K13" i="4" s="1"/>
  <c r="J12" i="4"/>
  <c r="K12" i="4" s="1"/>
  <c r="D12" i="4"/>
  <c r="J11" i="4"/>
  <c r="D11" i="4"/>
  <c r="K11" i="4" s="1"/>
  <c r="J10" i="4"/>
  <c r="K10" i="4" s="1"/>
  <c r="D10" i="4"/>
  <c r="J9" i="4"/>
  <c r="D9" i="4"/>
  <c r="K9" i="4" s="1"/>
  <c r="J8" i="4"/>
  <c r="K8" i="4" s="1"/>
  <c r="D8" i="4"/>
  <c r="J7" i="4"/>
  <c r="D7" i="4"/>
  <c r="K7" i="4" s="1"/>
  <c r="J6" i="4"/>
  <c r="K6" i="4" s="1"/>
  <c r="D6" i="4"/>
  <c r="J5" i="4"/>
  <c r="D5" i="4"/>
  <c r="K5" i="4" s="1"/>
  <c r="J4" i="4"/>
  <c r="K4" i="4" s="1"/>
  <c r="D4" i="4"/>
  <c r="J3" i="4"/>
  <c r="D3" i="4"/>
  <c r="K3" i="4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E56" i="2"/>
  <c r="E55" i="2"/>
  <c r="F54" i="2"/>
  <c r="E54" i="2"/>
  <c r="G54" i="2" s="1"/>
  <c r="E53" i="2"/>
  <c r="E52" i="2"/>
  <c r="E51" i="2"/>
  <c r="F51" i="2" s="1"/>
  <c r="E50" i="2"/>
  <c r="E49" i="2"/>
  <c r="F48" i="2"/>
  <c r="E48" i="2"/>
  <c r="G48" i="2" s="1"/>
  <c r="E47" i="2"/>
  <c r="E46" i="2"/>
  <c r="E45" i="2"/>
  <c r="F45" i="2" s="1"/>
  <c r="E44" i="2"/>
  <c r="E43" i="2"/>
  <c r="F42" i="2"/>
  <c r="E42" i="2"/>
  <c r="G42" i="2" s="1"/>
  <c r="E41" i="2"/>
  <c r="E40" i="2"/>
  <c r="E39" i="2"/>
  <c r="F39" i="2" s="1"/>
  <c r="E38" i="2"/>
  <c r="E37" i="2"/>
  <c r="F36" i="2"/>
  <c r="E36" i="2"/>
  <c r="G36" i="2" s="1"/>
  <c r="E35" i="2"/>
  <c r="E34" i="2"/>
  <c r="E33" i="2"/>
  <c r="F33" i="2" s="1"/>
  <c r="E32" i="2"/>
  <c r="E31" i="2"/>
  <c r="F30" i="2"/>
  <c r="E30" i="2"/>
  <c r="G30" i="2" s="1"/>
  <c r="E26" i="2"/>
  <c r="E25" i="2"/>
  <c r="F24" i="2"/>
  <c r="E24" i="2"/>
  <c r="G24" i="2" s="1"/>
  <c r="E23" i="2"/>
  <c r="E22" i="2"/>
  <c r="E21" i="2"/>
  <c r="F21" i="2" s="1"/>
  <c r="E20" i="2"/>
  <c r="E19" i="2"/>
  <c r="F18" i="2"/>
  <c r="E18" i="2"/>
  <c r="G18" i="2" s="1"/>
  <c r="E17" i="2"/>
  <c r="E16" i="2"/>
  <c r="E15" i="2"/>
  <c r="F15" i="2" s="1"/>
  <c r="E14" i="2"/>
  <c r="E13" i="2"/>
  <c r="F12" i="2"/>
  <c r="E12" i="2"/>
  <c r="G12" i="2" s="1"/>
  <c r="E11" i="2"/>
  <c r="E10" i="2"/>
  <c r="E9" i="2"/>
  <c r="F9" i="2" s="1"/>
  <c r="E8" i="2"/>
  <c r="E7" i="2"/>
  <c r="F6" i="2"/>
  <c r="E6" i="2"/>
  <c r="G6" i="2" s="1"/>
  <c r="E5" i="2"/>
  <c r="E4" i="2"/>
  <c r="E3" i="2"/>
  <c r="F3" i="2" s="1"/>
  <c r="H79" i="1"/>
  <c r="E79" i="1"/>
  <c r="I79" i="1" s="1"/>
  <c r="L79" i="1" s="1"/>
  <c r="H78" i="1"/>
  <c r="E78" i="1"/>
  <c r="I78" i="1" s="1"/>
  <c r="L78" i="1" s="1"/>
  <c r="H77" i="1"/>
  <c r="E77" i="1"/>
  <c r="I77" i="1" s="1"/>
  <c r="H76" i="1"/>
  <c r="E76" i="1"/>
  <c r="I76" i="1" s="1"/>
  <c r="L76" i="1" s="1"/>
  <c r="H75" i="1"/>
  <c r="E75" i="1"/>
  <c r="I75" i="1" s="1"/>
  <c r="L75" i="1" s="1"/>
  <c r="H74" i="1"/>
  <c r="E74" i="1"/>
  <c r="I74" i="1" s="1"/>
  <c r="H73" i="1"/>
  <c r="E73" i="1"/>
  <c r="I73" i="1" s="1"/>
  <c r="L73" i="1" s="1"/>
  <c r="H72" i="1"/>
  <c r="E72" i="1"/>
  <c r="I72" i="1" s="1"/>
  <c r="L72" i="1" s="1"/>
  <c r="I71" i="1"/>
  <c r="L71" i="1" s="1"/>
  <c r="H71" i="1"/>
  <c r="E71" i="1"/>
  <c r="H70" i="1"/>
  <c r="E70" i="1"/>
  <c r="I70" i="1" s="1"/>
  <c r="L70" i="1" s="1"/>
  <c r="H69" i="1"/>
  <c r="E69" i="1"/>
  <c r="I69" i="1" s="1"/>
  <c r="L69" i="1" s="1"/>
  <c r="H68" i="1"/>
  <c r="E68" i="1"/>
  <c r="I68" i="1" s="1"/>
  <c r="H67" i="1"/>
  <c r="E67" i="1"/>
  <c r="I67" i="1" s="1"/>
  <c r="L67" i="1" s="1"/>
  <c r="H66" i="1"/>
  <c r="E66" i="1"/>
  <c r="I66" i="1" s="1"/>
  <c r="L66" i="1" s="1"/>
  <c r="H65" i="1"/>
  <c r="E65" i="1"/>
  <c r="I65" i="1" s="1"/>
  <c r="H64" i="1"/>
  <c r="E64" i="1"/>
  <c r="I64" i="1" s="1"/>
  <c r="L64" i="1" s="1"/>
  <c r="H63" i="1"/>
  <c r="E63" i="1"/>
  <c r="I63" i="1" s="1"/>
  <c r="L63" i="1" s="1"/>
  <c r="H62" i="1"/>
  <c r="E62" i="1"/>
  <c r="I62" i="1" s="1"/>
  <c r="H61" i="1"/>
  <c r="E61" i="1"/>
  <c r="I61" i="1" s="1"/>
  <c r="L61" i="1" s="1"/>
  <c r="H60" i="1"/>
  <c r="E60" i="1"/>
  <c r="I60" i="1" s="1"/>
  <c r="L60" i="1" s="1"/>
  <c r="H59" i="1"/>
  <c r="E59" i="1"/>
  <c r="I59" i="1" s="1"/>
  <c r="H58" i="1"/>
  <c r="E58" i="1"/>
  <c r="I58" i="1" s="1"/>
  <c r="L58" i="1" s="1"/>
  <c r="H57" i="1"/>
  <c r="E57" i="1"/>
  <c r="I57" i="1" s="1"/>
  <c r="L57" i="1" s="1"/>
  <c r="H56" i="1"/>
  <c r="E56" i="1"/>
  <c r="I56" i="1" s="1"/>
  <c r="H55" i="1"/>
  <c r="E55" i="1"/>
  <c r="I55" i="1" s="1"/>
  <c r="L55" i="1" s="1"/>
  <c r="H54" i="1"/>
  <c r="E54" i="1"/>
  <c r="I54" i="1" s="1"/>
  <c r="L54" i="1" s="1"/>
  <c r="H53" i="1"/>
  <c r="E53" i="1"/>
  <c r="I53" i="1" s="1"/>
  <c r="H52" i="1"/>
  <c r="E52" i="1"/>
  <c r="I52" i="1" s="1"/>
  <c r="L52" i="1" s="1"/>
  <c r="H51" i="1"/>
  <c r="E51" i="1"/>
  <c r="I51" i="1" s="1"/>
  <c r="L51" i="1" s="1"/>
  <c r="H50" i="1"/>
  <c r="E50" i="1"/>
  <c r="I50" i="1" s="1"/>
  <c r="H49" i="1"/>
  <c r="E49" i="1"/>
  <c r="I49" i="1" s="1"/>
  <c r="L49" i="1" s="1"/>
  <c r="H48" i="1"/>
  <c r="E48" i="1"/>
  <c r="I48" i="1" s="1"/>
  <c r="L48" i="1" s="1"/>
  <c r="H47" i="1"/>
  <c r="E47" i="1"/>
  <c r="I47" i="1" s="1"/>
  <c r="H46" i="1"/>
  <c r="E46" i="1"/>
  <c r="I46" i="1" s="1"/>
  <c r="L46" i="1" s="1"/>
  <c r="H45" i="1"/>
  <c r="E45" i="1"/>
  <c r="I45" i="1" s="1"/>
  <c r="L45" i="1" s="1"/>
  <c r="H44" i="1"/>
  <c r="E44" i="1"/>
  <c r="I44" i="1" s="1"/>
  <c r="H39" i="1"/>
  <c r="E39" i="1"/>
  <c r="I39" i="1" s="1"/>
  <c r="L39" i="1" s="1"/>
  <c r="H38" i="1"/>
  <c r="E38" i="1"/>
  <c r="I38" i="1" s="1"/>
  <c r="L38" i="1" s="1"/>
  <c r="H37" i="1"/>
  <c r="E37" i="1"/>
  <c r="I37" i="1" s="1"/>
  <c r="H36" i="1"/>
  <c r="E36" i="1"/>
  <c r="I36" i="1" s="1"/>
  <c r="L36" i="1" s="1"/>
  <c r="H35" i="1"/>
  <c r="E35" i="1"/>
  <c r="I35" i="1" s="1"/>
  <c r="L35" i="1" s="1"/>
  <c r="H34" i="1"/>
  <c r="E34" i="1"/>
  <c r="I34" i="1" s="1"/>
  <c r="H33" i="1"/>
  <c r="E33" i="1"/>
  <c r="I33" i="1" s="1"/>
  <c r="L33" i="1" s="1"/>
  <c r="H32" i="1"/>
  <c r="E32" i="1"/>
  <c r="I32" i="1" s="1"/>
  <c r="L32" i="1" s="1"/>
  <c r="H31" i="1"/>
  <c r="E31" i="1"/>
  <c r="I31" i="1" s="1"/>
  <c r="H30" i="1"/>
  <c r="E30" i="1"/>
  <c r="I30" i="1" s="1"/>
  <c r="L30" i="1" s="1"/>
  <c r="H29" i="1"/>
  <c r="E29" i="1"/>
  <c r="I29" i="1" s="1"/>
  <c r="L29" i="1" s="1"/>
  <c r="H28" i="1"/>
  <c r="E28" i="1"/>
  <c r="I28" i="1" s="1"/>
  <c r="H27" i="1"/>
  <c r="E27" i="1"/>
  <c r="I27" i="1" s="1"/>
  <c r="L27" i="1" s="1"/>
  <c r="H26" i="1"/>
  <c r="E26" i="1"/>
  <c r="I26" i="1" s="1"/>
  <c r="L26" i="1" s="1"/>
  <c r="H25" i="1"/>
  <c r="E25" i="1"/>
  <c r="I25" i="1" s="1"/>
  <c r="H24" i="1"/>
  <c r="E24" i="1"/>
  <c r="I24" i="1" s="1"/>
  <c r="L24" i="1" s="1"/>
  <c r="H23" i="1"/>
  <c r="E23" i="1"/>
  <c r="I23" i="1" s="1"/>
  <c r="L23" i="1" s="1"/>
  <c r="H22" i="1"/>
  <c r="E22" i="1"/>
  <c r="I22" i="1" s="1"/>
  <c r="H21" i="1"/>
  <c r="E21" i="1"/>
  <c r="I21" i="1" s="1"/>
  <c r="L21" i="1" s="1"/>
  <c r="H20" i="1"/>
  <c r="E20" i="1"/>
  <c r="I20" i="1" s="1"/>
  <c r="L20" i="1" s="1"/>
  <c r="H19" i="1"/>
  <c r="E19" i="1"/>
  <c r="I19" i="1" s="1"/>
  <c r="H18" i="1"/>
  <c r="E18" i="1"/>
  <c r="I18" i="1" s="1"/>
  <c r="L18" i="1" s="1"/>
  <c r="H17" i="1"/>
  <c r="E17" i="1"/>
  <c r="I17" i="1" s="1"/>
  <c r="L17" i="1" s="1"/>
  <c r="H16" i="1"/>
  <c r="E16" i="1"/>
  <c r="I16" i="1" s="1"/>
  <c r="H15" i="1"/>
  <c r="E15" i="1"/>
  <c r="I15" i="1" s="1"/>
  <c r="L15" i="1" s="1"/>
  <c r="H14" i="1"/>
  <c r="E14" i="1"/>
  <c r="I14" i="1" s="1"/>
  <c r="L14" i="1" s="1"/>
  <c r="H13" i="1"/>
  <c r="E13" i="1"/>
  <c r="I13" i="1" s="1"/>
  <c r="H12" i="1"/>
  <c r="E12" i="1"/>
  <c r="I12" i="1" s="1"/>
  <c r="L12" i="1" s="1"/>
  <c r="H11" i="1"/>
  <c r="E11" i="1"/>
  <c r="I11" i="1" s="1"/>
  <c r="L11" i="1" s="1"/>
  <c r="H10" i="1"/>
  <c r="E10" i="1"/>
  <c r="I10" i="1" s="1"/>
  <c r="H9" i="1"/>
  <c r="E9" i="1"/>
  <c r="I9" i="1" s="1"/>
  <c r="L9" i="1" s="1"/>
  <c r="H8" i="1"/>
  <c r="E8" i="1"/>
  <c r="I8" i="1" s="1"/>
  <c r="L8" i="1" s="1"/>
  <c r="H7" i="1"/>
  <c r="E7" i="1"/>
  <c r="I7" i="1" s="1"/>
  <c r="H6" i="1"/>
  <c r="E6" i="1"/>
  <c r="I6" i="1" s="1"/>
  <c r="L6" i="1" s="1"/>
  <c r="H5" i="1"/>
  <c r="E5" i="1"/>
  <c r="I5" i="1" s="1"/>
  <c r="L5" i="1" s="1"/>
  <c r="H4" i="1"/>
  <c r="E4" i="1"/>
  <c r="I4" i="1" s="1"/>
  <c r="M33" i="4" l="1"/>
  <c r="L33" i="4"/>
  <c r="M39" i="4"/>
  <c r="L39" i="4"/>
  <c r="M45" i="4"/>
  <c r="L45" i="4"/>
  <c r="M51" i="4"/>
  <c r="L51" i="4"/>
  <c r="L30" i="4"/>
  <c r="M30" i="4"/>
  <c r="L36" i="4"/>
  <c r="M36" i="4"/>
  <c r="L42" i="4"/>
  <c r="M42" i="4"/>
  <c r="L48" i="4"/>
  <c r="M48" i="4"/>
  <c r="L54" i="4"/>
  <c r="M54" i="4"/>
  <c r="L3" i="4"/>
  <c r="M3" i="4"/>
  <c r="L9" i="4"/>
  <c r="M9" i="4"/>
  <c r="L15" i="4"/>
  <c r="M15" i="4"/>
  <c r="L21" i="4"/>
  <c r="M21" i="4"/>
  <c r="M6" i="4"/>
  <c r="L6" i="4"/>
  <c r="M12" i="4"/>
  <c r="L12" i="4"/>
  <c r="M18" i="4"/>
  <c r="L18" i="4"/>
  <c r="M24" i="4"/>
  <c r="L24" i="4"/>
  <c r="I33" i="3"/>
  <c r="H33" i="3"/>
  <c r="I39" i="3"/>
  <c r="H39" i="3"/>
  <c r="I45" i="3"/>
  <c r="H45" i="3"/>
  <c r="I51" i="3"/>
  <c r="H51" i="3"/>
  <c r="I30" i="3"/>
  <c r="H30" i="3"/>
  <c r="I36" i="3"/>
  <c r="H36" i="3"/>
  <c r="I42" i="3"/>
  <c r="H42" i="3"/>
  <c r="I48" i="3"/>
  <c r="H48" i="3"/>
  <c r="I54" i="3"/>
  <c r="H54" i="3"/>
  <c r="I3" i="3"/>
  <c r="H3" i="3"/>
  <c r="I9" i="3"/>
  <c r="H9" i="3"/>
  <c r="I15" i="3"/>
  <c r="H15" i="3"/>
  <c r="I21" i="3"/>
  <c r="H21" i="3"/>
  <c r="I6" i="3"/>
  <c r="H6" i="3"/>
  <c r="I12" i="3"/>
  <c r="H12" i="3"/>
  <c r="I18" i="3"/>
  <c r="H18" i="3"/>
  <c r="I24" i="3"/>
  <c r="H24" i="3"/>
  <c r="G33" i="2"/>
  <c r="G39" i="2"/>
  <c r="G45" i="2"/>
  <c r="G51" i="2"/>
  <c r="G3" i="2"/>
  <c r="G9" i="2"/>
  <c r="G15" i="2"/>
  <c r="G21" i="2"/>
  <c r="L44" i="1"/>
  <c r="J44" i="1"/>
  <c r="K44" i="1"/>
  <c r="L47" i="1"/>
  <c r="J47" i="1"/>
  <c r="K47" i="1"/>
  <c r="L50" i="1"/>
  <c r="J50" i="1"/>
  <c r="K50" i="1"/>
  <c r="L53" i="1"/>
  <c r="J53" i="1"/>
  <c r="K53" i="1"/>
  <c r="L56" i="1"/>
  <c r="J56" i="1"/>
  <c r="K56" i="1"/>
  <c r="L59" i="1"/>
  <c r="J59" i="1"/>
  <c r="K59" i="1"/>
  <c r="L62" i="1"/>
  <c r="J62" i="1"/>
  <c r="K62" i="1"/>
  <c r="L74" i="1"/>
  <c r="J74" i="1"/>
  <c r="K74" i="1"/>
  <c r="L77" i="1"/>
  <c r="J77" i="1"/>
  <c r="K77" i="1"/>
  <c r="L65" i="1"/>
  <c r="J65" i="1"/>
  <c r="K65" i="1"/>
  <c r="L68" i="1"/>
  <c r="J68" i="1"/>
  <c r="K68" i="1"/>
  <c r="N71" i="1"/>
  <c r="M71" i="1"/>
  <c r="K71" i="1"/>
  <c r="J71" i="1"/>
  <c r="L4" i="1"/>
  <c r="J4" i="1"/>
  <c r="K4" i="1"/>
  <c r="L7" i="1"/>
  <c r="J7" i="1"/>
  <c r="K7" i="1"/>
  <c r="L10" i="1"/>
  <c r="J10" i="1"/>
  <c r="K10" i="1"/>
  <c r="L13" i="1"/>
  <c r="J13" i="1"/>
  <c r="K13" i="1"/>
  <c r="L16" i="1"/>
  <c r="J16" i="1"/>
  <c r="K16" i="1"/>
  <c r="L19" i="1"/>
  <c r="J19" i="1"/>
  <c r="K19" i="1"/>
  <c r="L22" i="1"/>
  <c r="J22" i="1"/>
  <c r="K22" i="1"/>
  <c r="L25" i="1"/>
  <c r="J25" i="1"/>
  <c r="K25" i="1"/>
  <c r="L28" i="1"/>
  <c r="J28" i="1"/>
  <c r="K28" i="1"/>
  <c r="L31" i="1"/>
  <c r="J31" i="1"/>
  <c r="K31" i="1"/>
  <c r="L34" i="1"/>
  <c r="J34" i="1"/>
  <c r="K34" i="1"/>
  <c r="L37" i="1"/>
  <c r="J37" i="1"/>
  <c r="K37" i="1"/>
  <c r="N65" i="1" l="1"/>
  <c r="M65" i="1"/>
  <c r="N74" i="1"/>
  <c r="M74" i="1"/>
  <c r="N59" i="1"/>
  <c r="M59" i="1"/>
  <c r="N53" i="1"/>
  <c r="M53" i="1"/>
  <c r="N47" i="1"/>
  <c r="M47" i="1"/>
  <c r="N68" i="1"/>
  <c r="M68" i="1"/>
  <c r="N77" i="1"/>
  <c r="M77" i="1"/>
  <c r="N62" i="1"/>
  <c r="M62" i="1"/>
  <c r="N56" i="1"/>
  <c r="M56" i="1"/>
  <c r="N50" i="1"/>
  <c r="M50" i="1"/>
  <c r="N44" i="1"/>
  <c r="M44" i="1"/>
  <c r="N37" i="1"/>
  <c r="M37" i="1"/>
  <c r="N31" i="1"/>
  <c r="M31" i="1"/>
  <c r="N25" i="1"/>
  <c r="M25" i="1"/>
  <c r="N19" i="1"/>
  <c r="M19" i="1"/>
  <c r="N13" i="1"/>
  <c r="M13" i="1"/>
  <c r="N7" i="1"/>
  <c r="M7" i="1"/>
  <c r="N34" i="1"/>
  <c r="M34" i="1"/>
  <c r="N28" i="1"/>
  <c r="M28" i="1"/>
  <c r="N22" i="1"/>
  <c r="M22" i="1"/>
  <c r="N16" i="1"/>
  <c r="M16" i="1"/>
  <c r="N10" i="1"/>
  <c r="M10" i="1"/>
  <c r="N4" i="1"/>
  <c r="M4" i="1"/>
</calcChain>
</file>

<file path=xl/sharedStrings.xml><?xml version="1.0" encoding="utf-8"?>
<sst xmlns="http://schemas.openxmlformats.org/spreadsheetml/2006/main" count="392" uniqueCount="130">
  <si>
    <t>FTL Kimia Sorbitol</t>
  </si>
  <si>
    <t>Kode</t>
  </si>
  <si>
    <t>Ulangan</t>
  </si>
  <si>
    <t>CMC (g)</t>
  </si>
  <si>
    <t>PVA (g)</t>
  </si>
  <si>
    <t>Total Polimer (Wi)</t>
  </si>
  <si>
    <t>Berat wadah (W0)</t>
  </si>
  <si>
    <t>Berat Wadah + Endapan (W1)</t>
  </si>
  <si>
    <t>Berat Endapan (Wr)</t>
  </si>
  <si>
    <t>Fraksi Tak Larut (%)</t>
  </si>
  <si>
    <t>Rata-rata FTL</t>
  </si>
  <si>
    <t>STDEV</t>
  </si>
  <si>
    <t>Kelarutan (%)</t>
  </si>
  <si>
    <t>Rata-rata Kelarutan</t>
  </si>
  <si>
    <t>Membentuk Lembaran Biofilm</t>
  </si>
  <si>
    <t>Ya</t>
  </si>
  <si>
    <t>Tidak</t>
  </si>
  <si>
    <t>A</t>
  </si>
  <si>
    <t>A1</t>
  </si>
  <si>
    <t>ü</t>
  </si>
  <si>
    <t>A2</t>
  </si>
  <si>
    <t>A3</t>
  </si>
  <si>
    <t>B</t>
  </si>
  <si>
    <t>B1</t>
  </si>
  <si>
    <t>B2</t>
  </si>
  <si>
    <t>B3</t>
  </si>
  <si>
    <t>C</t>
  </si>
  <si>
    <t>C1</t>
  </si>
  <si>
    <t>C2</t>
  </si>
  <si>
    <t>C3</t>
  </si>
  <si>
    <t>D</t>
  </si>
  <si>
    <t>D1</t>
  </si>
  <si>
    <t>D2</t>
  </si>
  <si>
    <t>D3</t>
  </si>
  <si>
    <t>E</t>
  </si>
  <si>
    <t>E1</t>
  </si>
  <si>
    <t>E2</t>
  </si>
  <si>
    <t>E3</t>
  </si>
  <si>
    <t>F</t>
  </si>
  <si>
    <t>F1</t>
  </si>
  <si>
    <t>F2</t>
  </si>
  <si>
    <t>F3</t>
  </si>
  <si>
    <t>G</t>
  </si>
  <si>
    <t>G1</t>
  </si>
  <si>
    <t>G2</t>
  </si>
  <si>
    <t>G3</t>
  </si>
  <si>
    <t>H</t>
  </si>
  <si>
    <t>H1</t>
  </si>
  <si>
    <t>H2</t>
  </si>
  <si>
    <t>H3</t>
  </si>
  <si>
    <t>I</t>
  </si>
  <si>
    <t>I1</t>
  </si>
  <si>
    <t>I2</t>
  </si>
  <si>
    <t>I3</t>
  </si>
  <si>
    <t>J</t>
  </si>
  <si>
    <t>J1</t>
  </si>
  <si>
    <t>J2</t>
  </si>
  <si>
    <t>J3</t>
  </si>
  <si>
    <t>K</t>
  </si>
  <si>
    <t>K1</t>
  </si>
  <si>
    <t>K2</t>
  </si>
  <si>
    <t>K3</t>
  </si>
  <si>
    <t>L</t>
  </si>
  <si>
    <t>L1</t>
  </si>
  <si>
    <t>L2</t>
  </si>
  <si>
    <t>L3</t>
  </si>
  <si>
    <t>FTL Kimia Gliserol</t>
  </si>
  <si>
    <t>Sorbitol</t>
  </si>
  <si>
    <t>Kode Formulasi</t>
  </si>
  <si>
    <t>Ketebalan rata-rata (mm)</t>
  </si>
  <si>
    <t>Absorbansi (Abs600)</t>
  </si>
  <si>
    <t>Opasitas (Abs600/x)</t>
  </si>
  <si>
    <t>Rata-rata Opasitas (A/mm)</t>
  </si>
  <si>
    <t>Keterangan</t>
  </si>
  <si>
    <t>Semi-transaparan</t>
  </si>
  <si>
    <t>Buram</t>
  </si>
  <si>
    <t>Gliserol</t>
  </si>
  <si>
    <t>Semi-transparan</t>
  </si>
  <si>
    <t>Transparan</t>
  </si>
  <si>
    <t>Buram/keruh</t>
  </si>
  <si>
    <t>Variasi Biofilm</t>
  </si>
  <si>
    <t>U</t>
  </si>
  <si>
    <t>Berat Wadah</t>
  </si>
  <si>
    <t>Wi (g)</t>
  </si>
  <si>
    <t>Wadah+sampel</t>
  </si>
  <si>
    <t>Wf (g)</t>
  </si>
  <si>
    <t>Solubilitas (%)</t>
  </si>
  <si>
    <t>Rata-rata</t>
  </si>
  <si>
    <t>Bs</t>
  </si>
  <si>
    <t>Cs</t>
  </si>
  <si>
    <t>Ds</t>
  </si>
  <si>
    <t>Gs</t>
  </si>
  <si>
    <t>Hs</t>
  </si>
  <si>
    <t>Js</t>
  </si>
  <si>
    <t>Ks</t>
  </si>
  <si>
    <t>Ls</t>
  </si>
  <si>
    <t>Gliseol</t>
  </si>
  <si>
    <t>Fg</t>
  </si>
  <si>
    <t>Kode (CMC, PVA)</t>
  </si>
  <si>
    <t>D (cm)</t>
  </si>
  <si>
    <r>
      <t>Luas A (</t>
    </r>
    <r>
      <rPr>
        <b/>
        <sz val="11"/>
        <color theme="1"/>
        <rFont val="Calibri"/>
        <family val="2"/>
      </rPr>
      <t>¼ꙥD²</t>
    </r>
    <r>
      <rPr>
        <b/>
        <sz val="11"/>
        <color theme="1"/>
        <rFont val="Calibri"/>
        <family val="2"/>
        <scheme val="minor"/>
      </rPr>
      <t>) m²</t>
    </r>
  </si>
  <si>
    <t>W0 (g)</t>
  </si>
  <si>
    <t>W6 (g)</t>
  </si>
  <si>
    <t>W12 (g)</t>
  </si>
  <si>
    <t>W18 (g)</t>
  </si>
  <si>
    <t>W24 (g)</t>
  </si>
  <si>
    <t>∆W (W24 - W0)</t>
  </si>
  <si>
    <r>
      <t>WVTR (∆W/(txA)) g/m²</t>
    </r>
    <r>
      <rPr>
        <b/>
        <sz val="11"/>
        <color theme="1"/>
        <rFont val="Calibri"/>
        <family val="2"/>
      </rPr>
      <t>∙24 jam</t>
    </r>
  </si>
  <si>
    <t>B (1%, 1%)</t>
  </si>
  <si>
    <t>Tinggi</t>
  </si>
  <si>
    <t>C (1%, 2%)</t>
  </si>
  <si>
    <t>D (1%, 3%)</t>
  </si>
  <si>
    <t>Sedang</t>
  </si>
  <si>
    <t>G (2%, 2%)</t>
  </si>
  <si>
    <t>H (2%, 3%)</t>
  </si>
  <si>
    <t>J (3%, 1%)</t>
  </si>
  <si>
    <t>K (3%, 2%)</t>
  </si>
  <si>
    <t>L (3%, 3%)</t>
  </si>
  <si>
    <r>
      <t>WVTR (∆W/A) g/m²</t>
    </r>
    <r>
      <rPr>
        <b/>
        <sz val="11"/>
        <color theme="1"/>
        <rFont val="Calibri"/>
        <family val="2"/>
      </rPr>
      <t>∙24 jam</t>
    </r>
  </si>
  <si>
    <t>F (2%, 1%)</t>
  </si>
  <si>
    <t>UTS</t>
  </si>
  <si>
    <t>Elongasi (%)</t>
  </si>
  <si>
    <t>Bg</t>
  </si>
  <si>
    <t>Cg</t>
  </si>
  <si>
    <t>Dg</t>
  </si>
  <si>
    <t>Gg</t>
  </si>
  <si>
    <t>Hg</t>
  </si>
  <si>
    <t>Jg</t>
  </si>
  <si>
    <t>Kg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</si>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</sst>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164" fontId="0" fillId="0" borderId="3" xfId="0" applyNumberFormat="1" applyBorder="1"/>
    <xf numFmtId="10" fontId="0" fillId="0" borderId="3" xfId="1" applyNumberFormat="1" applyFont="1" applyBorder="1"/>
    <xf numFmtId="10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3" xfId="1" applyNumberFormat="1" applyFont="1" applyFill="1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DE6A-B9DA-4DC5-B6AB-E6B1DA294CB0}">
  <dimension ref="A1:P79"/>
  <sheetViews>
    <sheetView tabSelected="1" topLeftCell="A16" workbookViewId="0">
      <selection activeCell="Q32" sqref="Q32"/>
    </sheetView>
  </sheetViews>
  <sheetFormatPr defaultRowHeight="15" x14ac:dyDescent="0.25"/>
  <cols>
    <col min="12" max="12" width="10.7109375" customWidth="1"/>
    <col min="15" max="15" width="15.28515625" customWidth="1"/>
    <col min="16" max="16" width="16.42578125" customWidth="1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 t="s">
        <v>11</v>
      </c>
      <c r="L2" s="5" t="s">
        <v>12</v>
      </c>
      <c r="M2" s="4" t="s">
        <v>13</v>
      </c>
      <c r="N2" s="3" t="s">
        <v>11</v>
      </c>
      <c r="O2" s="6" t="s">
        <v>14</v>
      </c>
      <c r="P2" s="6"/>
    </row>
    <row r="3" spans="1:16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3"/>
      <c r="L3" s="7"/>
      <c r="M3" s="4"/>
      <c r="N3" s="3"/>
      <c r="O3" s="8" t="s">
        <v>15</v>
      </c>
      <c r="P3" s="8" t="s">
        <v>16</v>
      </c>
    </row>
    <row r="4" spans="1:16" x14ac:dyDescent="0.25">
      <c r="A4" s="9" t="s">
        <v>17</v>
      </c>
      <c r="B4" s="10" t="s">
        <v>18</v>
      </c>
      <c r="C4" s="11">
        <v>1</v>
      </c>
      <c r="D4" s="12">
        <v>0</v>
      </c>
      <c r="E4" s="11">
        <f>C4+D4</f>
        <v>1</v>
      </c>
      <c r="F4" s="12">
        <v>1.7150000000000001</v>
      </c>
      <c r="G4" s="13">
        <v>1.865</v>
      </c>
      <c r="H4" s="12">
        <f>G4-F4</f>
        <v>0.14999999999999991</v>
      </c>
      <c r="I4" s="14">
        <f>(H4/E4)*100</f>
        <v>14.999999999999991</v>
      </c>
      <c r="J4" s="15">
        <f>AVERAGE(I4:I6)</f>
        <v>14.966666666666654</v>
      </c>
      <c r="K4" s="15">
        <f>_xlfn.STDEV.S(I4:I6)</f>
        <v>0.15275252316521137</v>
      </c>
      <c r="L4" s="11">
        <f>100-I4</f>
        <v>85.000000000000014</v>
      </c>
      <c r="M4" s="15">
        <f>AVERAGE(L4:L6)</f>
        <v>85.033333333333346</v>
      </c>
      <c r="N4" s="15">
        <f>_xlfn.STDEV.S(L4:L6)</f>
        <v>0.15275252316520771</v>
      </c>
      <c r="O4" s="16"/>
      <c r="P4" s="17" t="s">
        <v>19</v>
      </c>
    </row>
    <row r="5" spans="1:16" x14ac:dyDescent="0.25">
      <c r="A5" s="18"/>
      <c r="B5" s="19" t="s">
        <v>20</v>
      </c>
      <c r="C5" s="11">
        <v>1</v>
      </c>
      <c r="D5" s="12">
        <v>0</v>
      </c>
      <c r="E5" s="11">
        <f t="shared" ref="E5:E39" si="0">C5+D5</f>
        <v>1</v>
      </c>
      <c r="F5" s="19">
        <v>1.87</v>
      </c>
      <c r="G5" s="19">
        <v>2.0179999999999998</v>
      </c>
      <c r="H5" s="12">
        <f t="shared" ref="H5:H39" si="1">G5-F5</f>
        <v>0.14799999999999969</v>
      </c>
      <c r="I5" s="14">
        <f t="shared" ref="I5:I39" si="2">(H5/E5)*100</f>
        <v>14.799999999999969</v>
      </c>
      <c r="J5" s="15"/>
      <c r="K5" s="15"/>
      <c r="L5" s="11">
        <f t="shared" ref="L5:L39" si="3">100-I5</f>
        <v>85.200000000000031</v>
      </c>
      <c r="M5" s="15"/>
      <c r="N5" s="15"/>
      <c r="O5" s="20"/>
      <c r="P5" s="17" t="s">
        <v>19</v>
      </c>
    </row>
    <row r="6" spans="1:16" x14ac:dyDescent="0.25">
      <c r="A6" s="18"/>
      <c r="B6" s="19" t="s">
        <v>21</v>
      </c>
      <c r="C6" s="11">
        <v>1</v>
      </c>
      <c r="D6" s="12">
        <v>0</v>
      </c>
      <c r="E6" s="11">
        <f t="shared" si="0"/>
        <v>1</v>
      </c>
      <c r="F6" s="19">
        <v>1.093</v>
      </c>
      <c r="G6" s="19">
        <v>1.244</v>
      </c>
      <c r="H6" s="12">
        <f t="shared" si="1"/>
        <v>0.15100000000000002</v>
      </c>
      <c r="I6" s="14">
        <f t="shared" si="2"/>
        <v>15.100000000000001</v>
      </c>
      <c r="J6" s="15"/>
      <c r="K6" s="15"/>
      <c r="L6" s="11">
        <f t="shared" si="3"/>
        <v>84.9</v>
      </c>
      <c r="M6" s="15"/>
      <c r="N6" s="15"/>
      <c r="O6" s="20"/>
      <c r="P6" s="17" t="s">
        <v>19</v>
      </c>
    </row>
    <row r="7" spans="1:16" x14ac:dyDescent="0.25">
      <c r="A7" s="18" t="s">
        <v>22</v>
      </c>
      <c r="B7" s="19" t="s">
        <v>23</v>
      </c>
      <c r="C7" s="21">
        <v>1</v>
      </c>
      <c r="D7" s="22">
        <v>1</v>
      </c>
      <c r="E7" s="11">
        <f t="shared" si="0"/>
        <v>2</v>
      </c>
      <c r="F7" s="22">
        <v>1.75</v>
      </c>
      <c r="G7" s="23">
        <v>1.877</v>
      </c>
      <c r="H7" s="12">
        <f t="shared" si="1"/>
        <v>0.127</v>
      </c>
      <c r="I7" s="14">
        <f t="shared" si="2"/>
        <v>6.35</v>
      </c>
      <c r="J7" s="15">
        <f>AVERAGE(I7:I9)</f>
        <v>6.1833333333333327</v>
      </c>
      <c r="K7" s="15">
        <f>_xlfn.STDEV.S(I7:I9)</f>
        <v>0.20816659994661352</v>
      </c>
      <c r="L7" s="11">
        <f t="shared" si="3"/>
        <v>93.65</v>
      </c>
      <c r="M7" s="15">
        <f>AVERAGE(L7:L9)</f>
        <v>93.816666666666663</v>
      </c>
      <c r="N7" s="15">
        <f>_xlfn.STDEV.S(L7:L9)</f>
        <v>0.20816659994660941</v>
      </c>
      <c r="O7" s="17" t="s">
        <v>19</v>
      </c>
      <c r="P7" s="16"/>
    </row>
    <row r="8" spans="1:16" x14ac:dyDescent="0.25">
      <c r="A8" s="18"/>
      <c r="B8" s="19" t="s">
        <v>24</v>
      </c>
      <c r="C8" s="21">
        <v>1</v>
      </c>
      <c r="D8" s="22">
        <v>1</v>
      </c>
      <c r="E8" s="11">
        <f t="shared" si="0"/>
        <v>2</v>
      </c>
      <c r="F8" s="19">
        <v>1.4530000000000001</v>
      </c>
      <c r="G8" s="19">
        <v>1.5720000000000001</v>
      </c>
      <c r="H8" s="12">
        <f t="shared" si="1"/>
        <v>0.11899999999999999</v>
      </c>
      <c r="I8" s="14">
        <f t="shared" si="2"/>
        <v>5.9499999999999993</v>
      </c>
      <c r="J8" s="15"/>
      <c r="K8" s="15"/>
      <c r="L8" s="11">
        <f t="shared" si="3"/>
        <v>94.05</v>
      </c>
      <c r="M8" s="15"/>
      <c r="N8" s="15"/>
      <c r="O8" s="17" t="s">
        <v>19</v>
      </c>
      <c r="P8" s="20"/>
    </row>
    <row r="9" spans="1:16" x14ac:dyDescent="0.25">
      <c r="A9" s="18"/>
      <c r="B9" s="19" t="s">
        <v>25</v>
      </c>
      <c r="C9" s="21">
        <v>1</v>
      </c>
      <c r="D9" s="22">
        <v>1</v>
      </c>
      <c r="E9" s="11">
        <f t="shared" si="0"/>
        <v>2</v>
      </c>
      <c r="F9" s="19">
        <v>1.762</v>
      </c>
      <c r="G9" s="19">
        <v>1.887</v>
      </c>
      <c r="H9" s="12">
        <f t="shared" si="1"/>
        <v>0.125</v>
      </c>
      <c r="I9" s="14">
        <f t="shared" si="2"/>
        <v>6.25</v>
      </c>
      <c r="J9" s="15"/>
      <c r="K9" s="15"/>
      <c r="L9" s="11">
        <f t="shared" si="3"/>
        <v>93.75</v>
      </c>
      <c r="M9" s="15"/>
      <c r="N9" s="15"/>
      <c r="O9" s="17" t="s">
        <v>19</v>
      </c>
      <c r="P9" s="20"/>
    </row>
    <row r="10" spans="1:16" x14ac:dyDescent="0.25">
      <c r="A10" s="24" t="s">
        <v>26</v>
      </c>
      <c r="B10" s="19" t="s">
        <v>27</v>
      </c>
      <c r="C10" s="21">
        <v>1</v>
      </c>
      <c r="D10" s="22">
        <v>2</v>
      </c>
      <c r="E10" s="11">
        <f t="shared" si="0"/>
        <v>3</v>
      </c>
      <c r="F10" s="22">
        <v>1.7310000000000001</v>
      </c>
      <c r="G10" s="23">
        <v>1.8140000000000001</v>
      </c>
      <c r="H10" s="12">
        <f t="shared" si="1"/>
        <v>8.2999999999999963E-2</v>
      </c>
      <c r="I10" s="14">
        <f t="shared" si="2"/>
        <v>2.7666666666666657</v>
      </c>
      <c r="J10" s="15">
        <f>AVERAGE(I10:I12)</f>
        <v>2.7555555555555578</v>
      </c>
      <c r="K10" s="15">
        <f>_xlfn.STDEV.S(I10:I12)</f>
        <v>8.388704928078769E-2</v>
      </c>
      <c r="L10" s="11">
        <f t="shared" si="3"/>
        <v>97.233333333333334</v>
      </c>
      <c r="M10" s="15">
        <f>AVERAGE(L10:L12)</f>
        <v>97.244444444444426</v>
      </c>
      <c r="N10" s="15">
        <f>_xlfn.STDEV.S(L10:L12)</f>
        <v>8.3887049280787926E-2</v>
      </c>
      <c r="O10" s="17" t="s">
        <v>19</v>
      </c>
      <c r="P10" s="16"/>
    </row>
    <row r="11" spans="1:16" x14ac:dyDescent="0.25">
      <c r="A11" s="24"/>
      <c r="B11" s="19" t="s">
        <v>28</v>
      </c>
      <c r="C11" s="21">
        <v>1</v>
      </c>
      <c r="D11" s="22">
        <v>2</v>
      </c>
      <c r="E11" s="11">
        <f t="shared" si="0"/>
        <v>3</v>
      </c>
      <c r="F11" s="19">
        <v>1.2809999999999999</v>
      </c>
      <c r="G11" s="19">
        <v>1.3660000000000001</v>
      </c>
      <c r="H11" s="12">
        <f t="shared" si="1"/>
        <v>8.5000000000000187E-2</v>
      </c>
      <c r="I11" s="14">
        <f t="shared" si="2"/>
        <v>2.8333333333333393</v>
      </c>
      <c r="J11" s="15"/>
      <c r="K11" s="15"/>
      <c r="L11" s="11">
        <f t="shared" si="3"/>
        <v>97.166666666666657</v>
      </c>
      <c r="M11" s="15"/>
      <c r="N11" s="15"/>
      <c r="O11" s="17" t="s">
        <v>19</v>
      </c>
      <c r="P11" s="20"/>
    </row>
    <row r="12" spans="1:16" x14ac:dyDescent="0.25">
      <c r="A12" s="24"/>
      <c r="B12" s="19" t="s">
        <v>29</v>
      </c>
      <c r="C12" s="21">
        <v>1</v>
      </c>
      <c r="D12" s="22">
        <v>2</v>
      </c>
      <c r="E12" s="11">
        <f t="shared" si="0"/>
        <v>3</v>
      </c>
      <c r="F12" s="19">
        <v>1.6739999999999999</v>
      </c>
      <c r="G12" s="19">
        <v>1.754</v>
      </c>
      <c r="H12" s="12">
        <f t="shared" si="1"/>
        <v>8.0000000000000071E-2</v>
      </c>
      <c r="I12" s="14">
        <f t="shared" si="2"/>
        <v>2.6666666666666687</v>
      </c>
      <c r="J12" s="15"/>
      <c r="K12" s="15"/>
      <c r="L12" s="11">
        <f t="shared" si="3"/>
        <v>97.333333333333329</v>
      </c>
      <c r="M12" s="15"/>
      <c r="N12" s="15"/>
      <c r="O12" s="17" t="s">
        <v>19</v>
      </c>
      <c r="P12" s="20"/>
    </row>
    <row r="13" spans="1:16" x14ac:dyDescent="0.25">
      <c r="A13" s="24" t="s">
        <v>30</v>
      </c>
      <c r="B13" s="19" t="s">
        <v>31</v>
      </c>
      <c r="C13" s="21">
        <v>1</v>
      </c>
      <c r="D13" s="22">
        <v>3</v>
      </c>
      <c r="E13" s="11">
        <f t="shared" si="0"/>
        <v>4</v>
      </c>
      <c r="F13" s="22">
        <v>1.712</v>
      </c>
      <c r="G13" s="23">
        <v>1.83</v>
      </c>
      <c r="H13" s="12">
        <f t="shared" si="1"/>
        <v>0.1180000000000001</v>
      </c>
      <c r="I13" s="14">
        <f t="shared" si="2"/>
        <v>2.9500000000000028</v>
      </c>
      <c r="J13" s="15">
        <f>AVERAGE(I13:I15)</f>
        <v>2.9750000000000001</v>
      </c>
      <c r="K13" s="15">
        <f>_xlfn.STDEV.S(I13:I15)</f>
        <v>2.4999999999997247E-2</v>
      </c>
      <c r="L13" s="11">
        <f t="shared" si="3"/>
        <v>97.05</v>
      </c>
      <c r="M13" s="15">
        <f>AVERAGE(L13:L15)</f>
        <v>97.02500000000002</v>
      </c>
      <c r="N13" s="15">
        <f>_xlfn.STDEV.S(L13:L15)</f>
        <v>2.4999999999998579E-2</v>
      </c>
      <c r="O13" s="17" t="s">
        <v>19</v>
      </c>
      <c r="P13" s="16"/>
    </row>
    <row r="14" spans="1:16" x14ac:dyDescent="0.25">
      <c r="A14" s="24"/>
      <c r="B14" s="19" t="s">
        <v>32</v>
      </c>
      <c r="C14" s="21">
        <v>1</v>
      </c>
      <c r="D14" s="22">
        <v>3</v>
      </c>
      <c r="E14" s="11">
        <f t="shared" si="0"/>
        <v>4</v>
      </c>
      <c r="F14" s="19">
        <v>1.653</v>
      </c>
      <c r="G14" s="19">
        <v>1.7729999999999999</v>
      </c>
      <c r="H14" s="12">
        <f t="shared" si="1"/>
        <v>0.11999999999999988</v>
      </c>
      <c r="I14" s="14">
        <f t="shared" si="2"/>
        <v>2.9999999999999973</v>
      </c>
      <c r="J14" s="15"/>
      <c r="K14" s="15"/>
      <c r="L14" s="11">
        <f t="shared" si="3"/>
        <v>97</v>
      </c>
      <c r="M14" s="15"/>
      <c r="N14" s="15"/>
      <c r="O14" s="17" t="s">
        <v>19</v>
      </c>
      <c r="P14" s="20"/>
    </row>
    <row r="15" spans="1:16" x14ac:dyDescent="0.25">
      <c r="A15" s="24"/>
      <c r="B15" s="19" t="s">
        <v>33</v>
      </c>
      <c r="C15" s="21">
        <v>1</v>
      </c>
      <c r="D15" s="22">
        <v>3</v>
      </c>
      <c r="E15" s="11">
        <f t="shared" si="0"/>
        <v>4</v>
      </c>
      <c r="F15" s="19">
        <v>1.4359999999999999</v>
      </c>
      <c r="G15" s="19">
        <v>1.5549999999999999</v>
      </c>
      <c r="H15" s="12">
        <f t="shared" si="1"/>
        <v>0.11899999999999999</v>
      </c>
      <c r="I15" s="14">
        <f t="shared" si="2"/>
        <v>2.9749999999999996</v>
      </c>
      <c r="J15" s="15"/>
      <c r="K15" s="15"/>
      <c r="L15" s="11">
        <f t="shared" si="3"/>
        <v>97.025000000000006</v>
      </c>
      <c r="M15" s="15"/>
      <c r="N15" s="15"/>
      <c r="O15" s="17" t="s">
        <v>19</v>
      </c>
      <c r="P15" s="20"/>
    </row>
    <row r="16" spans="1:16" x14ac:dyDescent="0.25">
      <c r="A16" s="24" t="s">
        <v>34</v>
      </c>
      <c r="B16" s="19" t="s">
        <v>35</v>
      </c>
      <c r="C16" s="21">
        <v>2</v>
      </c>
      <c r="D16" s="22">
        <v>0</v>
      </c>
      <c r="E16" s="11">
        <f t="shared" si="0"/>
        <v>2</v>
      </c>
      <c r="F16" s="22">
        <v>1.7490000000000001</v>
      </c>
      <c r="G16" s="23">
        <v>1.931</v>
      </c>
      <c r="H16" s="12">
        <f t="shared" si="1"/>
        <v>0.18199999999999994</v>
      </c>
      <c r="I16" s="14">
        <f t="shared" si="2"/>
        <v>9.0999999999999979</v>
      </c>
      <c r="J16" s="15">
        <f>AVERAGE(I16:I18)</f>
        <v>9.0499999999999989</v>
      </c>
      <c r="K16" s="15">
        <f>_xlfn.STDEV.S(I16:I18)</f>
        <v>0.22912878474778361</v>
      </c>
      <c r="L16" s="11">
        <f t="shared" si="3"/>
        <v>90.9</v>
      </c>
      <c r="M16" s="15">
        <f>AVERAGE(L16:L18)</f>
        <v>90.95</v>
      </c>
      <c r="N16" s="15">
        <f>_xlfn.STDEV.S(L16:L18)</f>
        <v>0.22912878474777898</v>
      </c>
      <c r="O16" s="16"/>
      <c r="P16" s="17" t="s">
        <v>19</v>
      </c>
    </row>
    <row r="17" spans="1:16" x14ac:dyDescent="0.25">
      <c r="A17" s="24"/>
      <c r="B17" s="19" t="s">
        <v>36</v>
      </c>
      <c r="C17" s="21">
        <v>2</v>
      </c>
      <c r="D17" s="22">
        <v>0</v>
      </c>
      <c r="E17" s="11">
        <f t="shared" si="0"/>
        <v>2</v>
      </c>
      <c r="F17" s="19">
        <v>1.4359999999999999</v>
      </c>
      <c r="G17" s="19">
        <v>1.6120000000000001</v>
      </c>
      <c r="H17" s="12">
        <f t="shared" si="1"/>
        <v>0.17600000000000016</v>
      </c>
      <c r="I17" s="14">
        <f t="shared" si="2"/>
        <v>8.8000000000000078</v>
      </c>
      <c r="J17" s="15"/>
      <c r="K17" s="15"/>
      <c r="L17" s="11">
        <f t="shared" si="3"/>
        <v>91.199999999999989</v>
      </c>
      <c r="M17" s="15"/>
      <c r="N17" s="15"/>
      <c r="O17" s="20"/>
      <c r="P17" s="17" t="s">
        <v>19</v>
      </c>
    </row>
    <row r="18" spans="1:16" x14ac:dyDescent="0.25">
      <c r="A18" s="24"/>
      <c r="B18" s="19" t="s">
        <v>37</v>
      </c>
      <c r="C18" s="21">
        <v>2</v>
      </c>
      <c r="D18" s="22">
        <v>0</v>
      </c>
      <c r="E18" s="11">
        <f t="shared" si="0"/>
        <v>2</v>
      </c>
      <c r="F18" s="19">
        <v>1.3280000000000001</v>
      </c>
      <c r="G18" s="19">
        <v>1.5129999999999999</v>
      </c>
      <c r="H18" s="12">
        <f t="shared" si="1"/>
        <v>0.18499999999999983</v>
      </c>
      <c r="I18" s="14">
        <f t="shared" si="2"/>
        <v>9.2499999999999911</v>
      </c>
      <c r="J18" s="15"/>
      <c r="K18" s="15"/>
      <c r="L18" s="11">
        <f t="shared" si="3"/>
        <v>90.750000000000014</v>
      </c>
      <c r="M18" s="15"/>
      <c r="N18" s="15"/>
      <c r="O18" s="20"/>
      <c r="P18" s="17" t="s">
        <v>19</v>
      </c>
    </row>
    <row r="19" spans="1:16" x14ac:dyDescent="0.25">
      <c r="A19" s="24" t="s">
        <v>38</v>
      </c>
      <c r="B19" s="19" t="s">
        <v>39</v>
      </c>
      <c r="C19" s="21">
        <v>2</v>
      </c>
      <c r="D19" s="22">
        <v>1</v>
      </c>
      <c r="E19" s="11">
        <f t="shared" si="0"/>
        <v>3</v>
      </c>
      <c r="F19" s="22">
        <v>1.7010000000000001</v>
      </c>
      <c r="G19" s="23">
        <v>1.9690000000000001</v>
      </c>
      <c r="H19" s="12">
        <f t="shared" si="1"/>
        <v>0.26800000000000002</v>
      </c>
      <c r="I19" s="14">
        <f t="shared" si="2"/>
        <v>8.9333333333333336</v>
      </c>
      <c r="J19" s="15">
        <f>AVERAGE(I19:I21)</f>
        <v>8.9</v>
      </c>
      <c r="K19" s="15">
        <f>_xlfn.STDEV.S(I19:I21)</f>
        <v>5.7735026918958272E-2</v>
      </c>
      <c r="L19" s="11">
        <f t="shared" si="3"/>
        <v>91.066666666666663</v>
      </c>
      <c r="M19" s="15">
        <f>AVERAGE(L19:L21)</f>
        <v>91.100000000000009</v>
      </c>
      <c r="N19" s="15">
        <f>_xlfn.STDEV.S(L19:L21)</f>
        <v>5.7735026918955192E-2</v>
      </c>
      <c r="O19" s="16"/>
      <c r="P19" s="17" t="s">
        <v>19</v>
      </c>
    </row>
    <row r="20" spans="1:16" x14ac:dyDescent="0.25">
      <c r="A20" s="24"/>
      <c r="B20" s="19" t="s">
        <v>40</v>
      </c>
      <c r="C20" s="21">
        <v>2</v>
      </c>
      <c r="D20" s="22">
        <v>1</v>
      </c>
      <c r="E20" s="11">
        <f t="shared" si="0"/>
        <v>3</v>
      </c>
      <c r="F20" s="19">
        <v>1.895</v>
      </c>
      <c r="G20" s="19">
        <v>2.16</v>
      </c>
      <c r="H20" s="12">
        <f t="shared" si="1"/>
        <v>0.26500000000000012</v>
      </c>
      <c r="I20" s="14">
        <f t="shared" si="2"/>
        <v>8.8333333333333375</v>
      </c>
      <c r="J20" s="15"/>
      <c r="K20" s="15"/>
      <c r="L20" s="11">
        <f t="shared" si="3"/>
        <v>91.166666666666657</v>
      </c>
      <c r="M20" s="15"/>
      <c r="N20" s="15"/>
      <c r="O20" s="20"/>
      <c r="P20" s="17" t="s">
        <v>19</v>
      </c>
    </row>
    <row r="21" spans="1:16" x14ac:dyDescent="0.25">
      <c r="A21" s="24"/>
      <c r="B21" s="19" t="s">
        <v>41</v>
      </c>
      <c r="C21" s="21">
        <v>2</v>
      </c>
      <c r="D21" s="22">
        <v>1</v>
      </c>
      <c r="E21" s="11">
        <f t="shared" si="0"/>
        <v>3</v>
      </c>
      <c r="F21" s="19">
        <v>1.867</v>
      </c>
      <c r="G21" s="19">
        <v>2.1349999999999998</v>
      </c>
      <c r="H21" s="12">
        <f t="shared" si="1"/>
        <v>0.26799999999999979</v>
      </c>
      <c r="I21" s="14">
        <f t="shared" si="2"/>
        <v>8.9333333333333265</v>
      </c>
      <c r="J21" s="15"/>
      <c r="K21" s="15"/>
      <c r="L21" s="11">
        <f t="shared" si="3"/>
        <v>91.066666666666677</v>
      </c>
      <c r="M21" s="15"/>
      <c r="N21" s="15"/>
      <c r="O21" s="20"/>
      <c r="P21" s="17" t="s">
        <v>19</v>
      </c>
    </row>
    <row r="22" spans="1:16" x14ac:dyDescent="0.25">
      <c r="A22" s="24" t="s">
        <v>42</v>
      </c>
      <c r="B22" s="19" t="s">
        <v>43</v>
      </c>
      <c r="C22" s="21">
        <v>2</v>
      </c>
      <c r="D22" s="22">
        <v>2</v>
      </c>
      <c r="E22" s="11">
        <f t="shared" si="0"/>
        <v>4</v>
      </c>
      <c r="F22" s="22">
        <v>1.7549999999999999</v>
      </c>
      <c r="G22" s="23">
        <v>1.9059999999999999</v>
      </c>
      <c r="H22" s="12">
        <f t="shared" si="1"/>
        <v>0.15100000000000002</v>
      </c>
      <c r="I22" s="14">
        <f t="shared" si="2"/>
        <v>3.7750000000000004</v>
      </c>
      <c r="J22" s="15">
        <f>AVERAGE(I22:I24)</f>
        <v>3.7500000000000013</v>
      </c>
      <c r="K22" s="15">
        <f>_xlfn.STDEV.S(I22:I24)</f>
        <v>9.0138781886598365E-2</v>
      </c>
      <c r="L22" s="11">
        <f t="shared" si="3"/>
        <v>96.224999999999994</v>
      </c>
      <c r="M22" s="15">
        <f>AVERAGE(L22:L24)</f>
        <v>96.25</v>
      </c>
      <c r="N22" s="15">
        <f>_xlfn.STDEV.S(L22:L24)</f>
        <v>9.0138781886598546E-2</v>
      </c>
      <c r="O22" s="17" t="s">
        <v>19</v>
      </c>
      <c r="P22" s="16"/>
    </row>
    <row r="23" spans="1:16" x14ac:dyDescent="0.25">
      <c r="A23" s="24"/>
      <c r="B23" s="19" t="s">
        <v>44</v>
      </c>
      <c r="C23" s="21">
        <v>2</v>
      </c>
      <c r="D23" s="22">
        <v>2</v>
      </c>
      <c r="E23" s="11">
        <f t="shared" si="0"/>
        <v>4</v>
      </c>
      <c r="F23" s="19">
        <v>1.3280000000000001</v>
      </c>
      <c r="G23" s="19">
        <v>1.4810000000000001</v>
      </c>
      <c r="H23" s="12">
        <f t="shared" si="1"/>
        <v>0.15300000000000002</v>
      </c>
      <c r="I23" s="14">
        <f t="shared" si="2"/>
        <v>3.8250000000000006</v>
      </c>
      <c r="J23" s="15"/>
      <c r="K23" s="15"/>
      <c r="L23" s="11">
        <f t="shared" si="3"/>
        <v>96.174999999999997</v>
      </c>
      <c r="M23" s="15"/>
      <c r="N23" s="15"/>
      <c r="O23" s="17" t="s">
        <v>19</v>
      </c>
      <c r="P23" s="20"/>
    </row>
    <row r="24" spans="1:16" x14ac:dyDescent="0.25">
      <c r="A24" s="24"/>
      <c r="B24" s="19" t="s">
        <v>45</v>
      </c>
      <c r="C24" s="21">
        <v>2</v>
      </c>
      <c r="D24" s="22">
        <v>2</v>
      </c>
      <c r="E24" s="11">
        <f t="shared" si="0"/>
        <v>4</v>
      </c>
      <c r="F24" s="19">
        <v>1.8939999999999999</v>
      </c>
      <c r="G24" s="19">
        <v>2.04</v>
      </c>
      <c r="H24" s="12">
        <f t="shared" si="1"/>
        <v>0.14600000000000013</v>
      </c>
      <c r="I24" s="14">
        <f t="shared" si="2"/>
        <v>3.650000000000003</v>
      </c>
      <c r="J24" s="15"/>
      <c r="K24" s="15"/>
      <c r="L24" s="11">
        <f t="shared" si="3"/>
        <v>96.35</v>
      </c>
      <c r="M24" s="15"/>
      <c r="N24" s="15"/>
      <c r="O24" s="17" t="s">
        <v>19</v>
      </c>
      <c r="P24" s="20"/>
    </row>
    <row r="25" spans="1:16" x14ac:dyDescent="0.25">
      <c r="A25" s="24" t="s">
        <v>46</v>
      </c>
      <c r="B25" s="19" t="s">
        <v>47</v>
      </c>
      <c r="C25" s="21">
        <v>2</v>
      </c>
      <c r="D25" s="22">
        <v>3</v>
      </c>
      <c r="E25" s="11">
        <f t="shared" si="0"/>
        <v>5</v>
      </c>
      <c r="F25" s="22">
        <v>1.7609999999999999</v>
      </c>
      <c r="G25" s="23">
        <v>1.9039999999999999</v>
      </c>
      <c r="H25" s="12">
        <f t="shared" si="1"/>
        <v>0.14300000000000002</v>
      </c>
      <c r="I25" s="14">
        <f t="shared" si="2"/>
        <v>2.8600000000000003</v>
      </c>
      <c r="J25" s="15">
        <f>AVERAGE(I25:I27)</f>
        <v>2.8600000000000017</v>
      </c>
      <c r="K25" s="15">
        <f>_xlfn.STDEV.S(I25:I27)</f>
        <v>3.9999999999997815E-2</v>
      </c>
      <c r="L25" s="11">
        <f t="shared" si="3"/>
        <v>97.14</v>
      </c>
      <c r="M25" s="15">
        <f>AVERAGE(L25:L27)</f>
        <v>97.14</v>
      </c>
      <c r="N25" s="15">
        <f>_xlfn.STDEV.S(L25:L27)</f>
        <v>3.9999999999999147E-2</v>
      </c>
      <c r="O25" s="17" t="s">
        <v>19</v>
      </c>
      <c r="P25" s="16"/>
    </row>
    <row r="26" spans="1:16" x14ac:dyDescent="0.25">
      <c r="A26" s="24"/>
      <c r="B26" s="19" t="s">
        <v>48</v>
      </c>
      <c r="C26" s="21">
        <v>2</v>
      </c>
      <c r="D26" s="22">
        <v>3</v>
      </c>
      <c r="E26" s="11">
        <f t="shared" si="0"/>
        <v>5</v>
      </c>
      <c r="F26" s="19">
        <v>1.349</v>
      </c>
      <c r="G26" s="19">
        <v>1.494</v>
      </c>
      <c r="H26" s="12">
        <f t="shared" si="1"/>
        <v>0.14500000000000002</v>
      </c>
      <c r="I26" s="14">
        <f t="shared" si="2"/>
        <v>2.9000000000000004</v>
      </c>
      <c r="J26" s="15"/>
      <c r="K26" s="15"/>
      <c r="L26" s="11">
        <f t="shared" si="3"/>
        <v>97.1</v>
      </c>
      <c r="M26" s="15"/>
      <c r="N26" s="15"/>
      <c r="O26" s="17" t="s">
        <v>19</v>
      </c>
      <c r="P26" s="20"/>
    </row>
    <row r="27" spans="1:16" x14ac:dyDescent="0.25">
      <c r="A27" s="24"/>
      <c r="B27" s="19" t="s">
        <v>49</v>
      </c>
      <c r="C27" s="21">
        <v>2</v>
      </c>
      <c r="D27" s="22">
        <v>3</v>
      </c>
      <c r="E27" s="11">
        <f t="shared" si="0"/>
        <v>5</v>
      </c>
      <c r="F27" s="19">
        <v>1.8939999999999999</v>
      </c>
      <c r="G27" s="19">
        <v>2.0350000000000001</v>
      </c>
      <c r="H27" s="12">
        <f t="shared" si="1"/>
        <v>0.14100000000000024</v>
      </c>
      <c r="I27" s="14">
        <f t="shared" si="2"/>
        <v>2.8200000000000047</v>
      </c>
      <c r="J27" s="15"/>
      <c r="K27" s="15"/>
      <c r="L27" s="11">
        <f t="shared" si="3"/>
        <v>97.179999999999993</v>
      </c>
      <c r="M27" s="15"/>
      <c r="N27" s="15"/>
      <c r="O27" s="17" t="s">
        <v>19</v>
      </c>
      <c r="P27" s="20"/>
    </row>
    <row r="28" spans="1:16" x14ac:dyDescent="0.25">
      <c r="A28" s="24" t="s">
        <v>50</v>
      </c>
      <c r="B28" s="19" t="s">
        <v>51</v>
      </c>
      <c r="C28" s="21">
        <v>3</v>
      </c>
      <c r="D28" s="22">
        <v>0</v>
      </c>
      <c r="E28" s="11">
        <f t="shared" si="0"/>
        <v>3</v>
      </c>
      <c r="F28" s="22">
        <v>1.7410000000000001</v>
      </c>
      <c r="G28" s="16">
        <v>2.1539999999999999</v>
      </c>
      <c r="H28" s="12">
        <f t="shared" si="1"/>
        <v>0.41299999999999981</v>
      </c>
      <c r="I28" s="14">
        <f t="shared" si="2"/>
        <v>13.76666666666666</v>
      </c>
      <c r="J28" s="15">
        <f>AVERAGE(I28:I30)</f>
        <v>13.766666666666666</v>
      </c>
      <c r="K28" s="15">
        <f>_xlfn.STDEV.S(I28:I30)</f>
        <v>3.3333333333336768E-2</v>
      </c>
      <c r="L28" s="11">
        <f t="shared" si="3"/>
        <v>86.233333333333334</v>
      </c>
      <c r="M28" s="15">
        <f>AVERAGE(L28:L30)</f>
        <v>86.233333333333334</v>
      </c>
      <c r="N28" s="15">
        <f>_xlfn.STDEV.S(L28:L30)</f>
        <v>3.3333333333338544E-2</v>
      </c>
      <c r="O28" s="16"/>
      <c r="P28" s="17" t="s">
        <v>19</v>
      </c>
    </row>
    <row r="29" spans="1:16" x14ac:dyDescent="0.25">
      <c r="A29" s="24"/>
      <c r="B29" s="19" t="s">
        <v>52</v>
      </c>
      <c r="C29" s="21">
        <v>3</v>
      </c>
      <c r="D29" s="22">
        <v>0</v>
      </c>
      <c r="E29" s="11">
        <f t="shared" si="0"/>
        <v>3</v>
      </c>
      <c r="F29" s="19">
        <v>1.3759999999999999</v>
      </c>
      <c r="G29" s="19">
        <v>1.79</v>
      </c>
      <c r="H29" s="12">
        <f t="shared" si="1"/>
        <v>0.41400000000000015</v>
      </c>
      <c r="I29" s="14">
        <f t="shared" si="2"/>
        <v>13.800000000000004</v>
      </c>
      <c r="J29" s="15"/>
      <c r="K29" s="15"/>
      <c r="L29" s="11">
        <f t="shared" si="3"/>
        <v>86.199999999999989</v>
      </c>
      <c r="M29" s="15"/>
      <c r="N29" s="15"/>
      <c r="O29" s="20"/>
      <c r="P29" s="17" t="s">
        <v>19</v>
      </c>
    </row>
    <row r="30" spans="1:16" x14ac:dyDescent="0.25">
      <c r="A30" s="24"/>
      <c r="B30" s="19" t="s">
        <v>53</v>
      </c>
      <c r="C30" s="21">
        <v>3</v>
      </c>
      <c r="D30" s="22">
        <v>0</v>
      </c>
      <c r="E30" s="11">
        <f t="shared" si="0"/>
        <v>3</v>
      </c>
      <c r="F30" s="19">
        <v>1.2390000000000001</v>
      </c>
      <c r="G30" s="19">
        <v>1.651</v>
      </c>
      <c r="H30" s="12">
        <f t="shared" si="1"/>
        <v>0.41199999999999992</v>
      </c>
      <c r="I30" s="14">
        <f t="shared" si="2"/>
        <v>13.733333333333331</v>
      </c>
      <c r="J30" s="15"/>
      <c r="K30" s="15"/>
      <c r="L30" s="11">
        <f t="shared" si="3"/>
        <v>86.266666666666666</v>
      </c>
      <c r="M30" s="15"/>
      <c r="N30" s="15"/>
      <c r="O30" s="20"/>
      <c r="P30" s="17" t="s">
        <v>19</v>
      </c>
    </row>
    <row r="31" spans="1:16" x14ac:dyDescent="0.25">
      <c r="A31" s="24" t="s">
        <v>54</v>
      </c>
      <c r="B31" s="19" t="s">
        <v>55</v>
      </c>
      <c r="C31" s="21">
        <v>3</v>
      </c>
      <c r="D31" s="22">
        <v>1</v>
      </c>
      <c r="E31" s="11">
        <f t="shared" si="0"/>
        <v>4</v>
      </c>
      <c r="F31" s="22">
        <v>1.7370000000000001</v>
      </c>
      <c r="G31" s="16">
        <v>2.1349999999999998</v>
      </c>
      <c r="H31" s="12">
        <f t="shared" si="1"/>
        <v>0.39799999999999969</v>
      </c>
      <c r="I31" s="14">
        <f t="shared" si="2"/>
        <v>9.9499999999999922</v>
      </c>
      <c r="J31" s="15">
        <f>AVERAGE(I31:I33)</f>
        <v>9.9166666666666625</v>
      </c>
      <c r="K31" s="15">
        <f>_xlfn.STDEV.S(I31:I33)</f>
        <v>5.7735026918960833E-2</v>
      </c>
      <c r="L31" s="11">
        <f t="shared" si="3"/>
        <v>90.050000000000011</v>
      </c>
      <c r="M31" s="15">
        <f>AVERAGE(L31:L33)</f>
        <v>90.083333333333329</v>
      </c>
      <c r="N31" s="15">
        <f>_xlfn.STDEV.S(L31:L33)</f>
        <v>5.77350269189634E-2</v>
      </c>
      <c r="O31" s="17" t="s">
        <v>19</v>
      </c>
      <c r="P31" s="16"/>
    </row>
    <row r="32" spans="1:16" x14ac:dyDescent="0.25">
      <c r="A32" s="24"/>
      <c r="B32" s="19" t="s">
        <v>56</v>
      </c>
      <c r="C32" s="21">
        <v>3</v>
      </c>
      <c r="D32" s="22">
        <v>1</v>
      </c>
      <c r="E32" s="11">
        <f t="shared" si="0"/>
        <v>4</v>
      </c>
      <c r="F32" s="19">
        <v>1.4350000000000001</v>
      </c>
      <c r="G32" s="19">
        <v>1.829</v>
      </c>
      <c r="H32" s="12">
        <f t="shared" si="1"/>
        <v>0.39399999999999991</v>
      </c>
      <c r="I32" s="14">
        <f t="shared" si="2"/>
        <v>9.8499999999999979</v>
      </c>
      <c r="J32" s="15"/>
      <c r="K32" s="15"/>
      <c r="L32" s="11">
        <f t="shared" si="3"/>
        <v>90.15</v>
      </c>
      <c r="M32" s="15"/>
      <c r="N32" s="15"/>
      <c r="O32" s="17" t="s">
        <v>19</v>
      </c>
      <c r="P32" s="20"/>
    </row>
    <row r="33" spans="1:16" x14ac:dyDescent="0.25">
      <c r="A33" s="24"/>
      <c r="B33" s="19" t="s">
        <v>57</v>
      </c>
      <c r="C33" s="21">
        <v>3</v>
      </c>
      <c r="D33" s="22">
        <v>1</v>
      </c>
      <c r="E33" s="11">
        <f t="shared" si="0"/>
        <v>4</v>
      </c>
      <c r="F33" s="19">
        <v>1.4890000000000001</v>
      </c>
      <c r="G33" s="19">
        <v>1.887</v>
      </c>
      <c r="H33" s="12">
        <f t="shared" si="1"/>
        <v>0.39799999999999991</v>
      </c>
      <c r="I33" s="14">
        <f t="shared" si="2"/>
        <v>9.9499999999999975</v>
      </c>
      <c r="J33" s="15"/>
      <c r="K33" s="15"/>
      <c r="L33" s="11">
        <f t="shared" si="3"/>
        <v>90.05</v>
      </c>
      <c r="M33" s="15"/>
      <c r="N33" s="15"/>
      <c r="O33" s="17" t="s">
        <v>19</v>
      </c>
      <c r="P33" s="20"/>
    </row>
    <row r="34" spans="1:16" x14ac:dyDescent="0.25">
      <c r="A34" s="24" t="s">
        <v>58</v>
      </c>
      <c r="B34" s="19" t="s">
        <v>59</v>
      </c>
      <c r="C34" s="21">
        <v>3</v>
      </c>
      <c r="D34" s="22">
        <v>2</v>
      </c>
      <c r="E34" s="11">
        <f t="shared" si="0"/>
        <v>5</v>
      </c>
      <c r="F34" s="22">
        <v>1.7410000000000001</v>
      </c>
      <c r="G34" s="16">
        <v>1.9419999999999999</v>
      </c>
      <c r="H34" s="12">
        <f t="shared" si="1"/>
        <v>0.20099999999999985</v>
      </c>
      <c r="I34" s="14">
        <f t="shared" si="2"/>
        <v>4.0199999999999969</v>
      </c>
      <c r="J34" s="15">
        <f>AVERAGE(I34:I36)</f>
        <v>4.0066666666666633</v>
      </c>
      <c r="K34" s="15">
        <f>_xlfn.STDEV.S(I34:I36)</f>
        <v>2.3094010767585053E-2</v>
      </c>
      <c r="L34" s="11">
        <f t="shared" si="3"/>
        <v>95.98</v>
      </c>
      <c r="M34" s="15">
        <f>AVERAGE(L34:L36)</f>
        <v>95.993333333333339</v>
      </c>
      <c r="N34" s="15">
        <f>_xlfn.STDEV.S(L34:L36)</f>
        <v>2.309401076758864E-2</v>
      </c>
      <c r="O34" s="17" t="s">
        <v>19</v>
      </c>
      <c r="P34" s="16"/>
    </row>
    <row r="35" spans="1:16" x14ac:dyDescent="0.25">
      <c r="A35" s="24"/>
      <c r="B35" s="19" t="s">
        <v>60</v>
      </c>
      <c r="C35" s="21">
        <v>3</v>
      </c>
      <c r="D35" s="22">
        <v>2</v>
      </c>
      <c r="E35" s="11">
        <f t="shared" si="0"/>
        <v>5</v>
      </c>
      <c r="F35" s="19">
        <v>1.4670000000000001</v>
      </c>
      <c r="G35" s="19">
        <v>1.6679999999999999</v>
      </c>
      <c r="H35" s="12">
        <f t="shared" si="1"/>
        <v>0.20099999999999985</v>
      </c>
      <c r="I35" s="14">
        <f t="shared" si="2"/>
        <v>4.0199999999999969</v>
      </c>
      <c r="J35" s="15"/>
      <c r="K35" s="15"/>
      <c r="L35" s="11">
        <f t="shared" si="3"/>
        <v>95.98</v>
      </c>
      <c r="M35" s="15"/>
      <c r="N35" s="15"/>
      <c r="O35" s="17" t="s">
        <v>19</v>
      </c>
      <c r="P35" s="20"/>
    </row>
    <row r="36" spans="1:16" x14ac:dyDescent="0.25">
      <c r="A36" s="24"/>
      <c r="B36" s="19" t="s">
        <v>61</v>
      </c>
      <c r="C36" s="21">
        <v>3</v>
      </c>
      <c r="D36" s="22">
        <v>2</v>
      </c>
      <c r="E36" s="11">
        <f t="shared" si="0"/>
        <v>5</v>
      </c>
      <c r="F36" s="19">
        <v>1.923</v>
      </c>
      <c r="G36" s="19">
        <v>2.1219999999999999</v>
      </c>
      <c r="H36" s="12">
        <f t="shared" si="1"/>
        <v>0.19899999999999984</v>
      </c>
      <c r="I36" s="14">
        <f t="shared" si="2"/>
        <v>3.9799999999999969</v>
      </c>
      <c r="J36" s="15"/>
      <c r="K36" s="15"/>
      <c r="L36" s="11">
        <f t="shared" si="3"/>
        <v>96.02000000000001</v>
      </c>
      <c r="M36" s="15"/>
      <c r="N36" s="15"/>
      <c r="O36" s="17" t="s">
        <v>19</v>
      </c>
      <c r="P36" s="20"/>
    </row>
    <row r="37" spans="1:16" x14ac:dyDescent="0.25">
      <c r="A37" s="24" t="s">
        <v>62</v>
      </c>
      <c r="B37" s="19" t="s">
        <v>63</v>
      </c>
      <c r="C37" s="21">
        <v>3</v>
      </c>
      <c r="D37" s="22">
        <v>3</v>
      </c>
      <c r="E37" s="11">
        <f t="shared" si="0"/>
        <v>6</v>
      </c>
      <c r="F37" s="22">
        <v>1.6970000000000001</v>
      </c>
      <c r="G37" s="16">
        <v>1.9039999999999999</v>
      </c>
      <c r="H37" s="12">
        <f t="shared" si="1"/>
        <v>0.20699999999999985</v>
      </c>
      <c r="I37" s="14">
        <f t="shared" si="2"/>
        <v>3.4499999999999975</v>
      </c>
      <c r="J37" s="15">
        <f>AVERAGE(I37:I39)</f>
        <v>3.4166666666666665</v>
      </c>
      <c r="K37" s="15">
        <f>_xlfn.STDEV.S(I37:I39)</f>
        <v>0.10408329997330443</v>
      </c>
      <c r="L37" s="11">
        <f t="shared" si="3"/>
        <v>96.55</v>
      </c>
      <c r="M37" s="15">
        <f>AVERAGE(L37:L39)</f>
        <v>96.583333333333329</v>
      </c>
      <c r="N37" s="15">
        <f>_xlfn.STDEV.S(L37:L39)</f>
        <v>0.10408329997330869</v>
      </c>
      <c r="O37" s="17" t="s">
        <v>19</v>
      </c>
      <c r="P37" s="16"/>
    </row>
    <row r="38" spans="1:16" x14ac:dyDescent="0.25">
      <c r="A38" s="24"/>
      <c r="B38" s="19" t="s">
        <v>64</v>
      </c>
      <c r="C38" s="21">
        <v>3</v>
      </c>
      <c r="D38" s="22">
        <v>3</v>
      </c>
      <c r="E38" s="11">
        <f t="shared" si="0"/>
        <v>6</v>
      </c>
      <c r="F38" s="19">
        <v>1.736</v>
      </c>
      <c r="G38" s="19">
        <v>1.946</v>
      </c>
      <c r="H38" s="12">
        <f t="shared" si="1"/>
        <v>0.20999999999999996</v>
      </c>
      <c r="I38" s="14">
        <f t="shared" si="2"/>
        <v>3.4999999999999996</v>
      </c>
      <c r="J38" s="15"/>
      <c r="K38" s="15"/>
      <c r="L38" s="11">
        <f t="shared" si="3"/>
        <v>96.5</v>
      </c>
      <c r="M38" s="15"/>
      <c r="N38" s="15"/>
      <c r="O38" s="17" t="s">
        <v>19</v>
      </c>
      <c r="P38" s="20"/>
    </row>
    <row r="39" spans="1:16" x14ac:dyDescent="0.25">
      <c r="A39" s="24"/>
      <c r="B39" s="19" t="s">
        <v>65</v>
      </c>
      <c r="C39" s="21">
        <v>3</v>
      </c>
      <c r="D39" s="22">
        <v>3</v>
      </c>
      <c r="E39" s="11">
        <f t="shared" si="0"/>
        <v>6</v>
      </c>
      <c r="F39" s="19">
        <v>1.3959999999999999</v>
      </c>
      <c r="G39" s="19">
        <v>1.5940000000000001</v>
      </c>
      <c r="H39" s="12">
        <f t="shared" si="1"/>
        <v>0.19800000000000018</v>
      </c>
      <c r="I39" s="14">
        <f t="shared" si="2"/>
        <v>3.3000000000000029</v>
      </c>
      <c r="J39" s="15"/>
      <c r="K39" s="15"/>
      <c r="L39" s="11">
        <f t="shared" si="3"/>
        <v>96.7</v>
      </c>
      <c r="M39" s="15"/>
      <c r="N39" s="15"/>
      <c r="O39" s="17" t="s">
        <v>19</v>
      </c>
      <c r="P39" s="20"/>
    </row>
    <row r="41" spans="1:16" x14ac:dyDescent="0.25">
      <c r="A41" s="6" t="s">
        <v>66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3" t="s">
        <v>1</v>
      </c>
      <c r="B42" s="3" t="s">
        <v>2</v>
      </c>
      <c r="C42" s="3" t="s">
        <v>3</v>
      </c>
      <c r="D42" s="3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  <c r="K42" s="3" t="s">
        <v>11</v>
      </c>
      <c r="L42" s="4" t="s">
        <v>12</v>
      </c>
      <c r="M42" s="4" t="s">
        <v>13</v>
      </c>
      <c r="N42" s="3" t="s">
        <v>11</v>
      </c>
      <c r="O42" s="6" t="s">
        <v>14</v>
      </c>
      <c r="P42" s="6"/>
    </row>
    <row r="43" spans="1:16" x14ac:dyDescent="0.25">
      <c r="A43" s="3"/>
      <c r="B43" s="3"/>
      <c r="C43" s="3"/>
      <c r="D43" s="3"/>
      <c r="E43" s="4"/>
      <c r="F43" s="4"/>
      <c r="G43" s="4"/>
      <c r="H43" s="4"/>
      <c r="I43" s="4"/>
      <c r="J43" s="4"/>
      <c r="K43" s="3"/>
      <c r="L43" s="4"/>
      <c r="M43" s="4"/>
      <c r="N43" s="3"/>
      <c r="O43" s="8" t="s">
        <v>15</v>
      </c>
      <c r="P43" s="8" t="s">
        <v>16</v>
      </c>
    </row>
    <row r="44" spans="1:16" x14ac:dyDescent="0.25">
      <c r="A44" s="18" t="s">
        <v>17</v>
      </c>
      <c r="B44" s="19" t="s">
        <v>18</v>
      </c>
      <c r="C44" s="25">
        <v>1</v>
      </c>
      <c r="D44" s="16">
        <v>0</v>
      </c>
      <c r="E44" s="25">
        <f>C44+D44</f>
        <v>1</v>
      </c>
      <c r="F44" s="22">
        <v>1.75</v>
      </c>
      <c r="G44" s="23">
        <v>1.8939999999999999</v>
      </c>
      <c r="H44" s="16">
        <f>G44-F44</f>
        <v>0.14399999999999991</v>
      </c>
      <c r="I44" s="26">
        <f>(H44/E44)*100</f>
        <v>14.399999999999991</v>
      </c>
      <c r="J44" s="15">
        <f>AVERAGE(I44:I46)</f>
        <v>14.333333333333348</v>
      </c>
      <c r="K44" s="15">
        <f>_xlfn.STDEV.S(I44:I46)</f>
        <v>0.40414518843273567</v>
      </c>
      <c r="L44" s="25">
        <f>100-I44</f>
        <v>85.600000000000009</v>
      </c>
      <c r="M44" s="15">
        <f>AVERAGE(L44:L46)</f>
        <v>85.666666666666671</v>
      </c>
      <c r="N44" s="15">
        <f>_xlfn.STDEV.S(L44:L46)</f>
        <v>0.40414518843273439</v>
      </c>
      <c r="O44" s="16"/>
      <c r="P44" s="17" t="s">
        <v>19</v>
      </c>
    </row>
    <row r="45" spans="1:16" x14ac:dyDescent="0.25">
      <c r="A45" s="18"/>
      <c r="B45" s="19" t="s">
        <v>20</v>
      </c>
      <c r="C45" s="25">
        <v>1</v>
      </c>
      <c r="D45" s="16">
        <v>0</v>
      </c>
      <c r="E45" s="25">
        <f t="shared" ref="E45:E79" si="4">C45+D45</f>
        <v>1</v>
      </c>
      <c r="F45" s="19">
        <v>1.8919999999999999</v>
      </c>
      <c r="G45" s="19">
        <v>2.0310000000000001</v>
      </c>
      <c r="H45" s="16">
        <f t="shared" ref="H45:H79" si="5">G45-F45</f>
        <v>0.13900000000000023</v>
      </c>
      <c r="I45" s="26">
        <f t="shared" ref="I45:I79" si="6">(H45/E45)*100</f>
        <v>13.900000000000023</v>
      </c>
      <c r="J45" s="15"/>
      <c r="K45" s="15"/>
      <c r="L45" s="25">
        <f t="shared" ref="L45:L79" si="7">100-I45</f>
        <v>86.09999999999998</v>
      </c>
      <c r="M45" s="15"/>
      <c r="N45" s="15"/>
      <c r="O45" s="20"/>
      <c r="P45" s="17" t="s">
        <v>19</v>
      </c>
    </row>
    <row r="46" spans="1:16" x14ac:dyDescent="0.25">
      <c r="A46" s="18"/>
      <c r="B46" s="19" t="s">
        <v>21</v>
      </c>
      <c r="C46" s="25">
        <v>1</v>
      </c>
      <c r="D46" s="16">
        <v>0</v>
      </c>
      <c r="E46" s="25">
        <f t="shared" si="4"/>
        <v>1</v>
      </c>
      <c r="F46" s="19">
        <v>1.9079999999999999</v>
      </c>
      <c r="G46" s="19">
        <v>2.0550000000000002</v>
      </c>
      <c r="H46" s="16">
        <f t="shared" si="5"/>
        <v>0.14700000000000024</v>
      </c>
      <c r="I46" s="26">
        <f t="shared" si="6"/>
        <v>14.700000000000024</v>
      </c>
      <c r="J46" s="15"/>
      <c r="K46" s="15"/>
      <c r="L46" s="25">
        <f t="shared" si="7"/>
        <v>85.299999999999983</v>
      </c>
      <c r="M46" s="15"/>
      <c r="N46" s="15"/>
      <c r="O46" s="20"/>
      <c r="P46" s="17" t="s">
        <v>19</v>
      </c>
    </row>
    <row r="47" spans="1:16" x14ac:dyDescent="0.25">
      <c r="A47" s="18" t="s">
        <v>22</v>
      </c>
      <c r="B47" s="19" t="s">
        <v>23</v>
      </c>
      <c r="C47" s="21">
        <v>1</v>
      </c>
      <c r="D47" s="22">
        <v>1</v>
      </c>
      <c r="E47" s="25">
        <f t="shared" si="4"/>
        <v>2</v>
      </c>
      <c r="F47" s="22">
        <v>1.7889999999999999</v>
      </c>
      <c r="G47" s="23">
        <v>1.9530000000000001</v>
      </c>
      <c r="H47" s="16">
        <f t="shared" si="5"/>
        <v>0.16400000000000015</v>
      </c>
      <c r="I47" s="26">
        <f t="shared" si="6"/>
        <v>8.2000000000000064</v>
      </c>
      <c r="J47" s="15">
        <f>AVERAGE(I47:I49)</f>
        <v>8.1666666666666661</v>
      </c>
      <c r="K47" s="15">
        <f>_xlfn.STDEV.S(I47:I49)</f>
        <v>0.15275252316519608</v>
      </c>
      <c r="L47" s="25">
        <f t="shared" si="7"/>
        <v>91.8</v>
      </c>
      <c r="M47" s="15">
        <f>AVERAGE(L47:L49)</f>
        <v>91.833333333333329</v>
      </c>
      <c r="N47" s="15">
        <f>_xlfn.STDEV.S(L47:L49)</f>
        <v>0.15275252316519375</v>
      </c>
      <c r="O47" s="17" t="s">
        <v>19</v>
      </c>
      <c r="P47" s="16"/>
    </row>
    <row r="48" spans="1:16" x14ac:dyDescent="0.25">
      <c r="A48" s="18"/>
      <c r="B48" s="19" t="s">
        <v>24</v>
      </c>
      <c r="C48" s="21">
        <v>1</v>
      </c>
      <c r="D48" s="22">
        <v>1</v>
      </c>
      <c r="E48" s="25">
        <f t="shared" si="4"/>
        <v>2</v>
      </c>
      <c r="F48" s="19">
        <v>1.2450000000000001</v>
      </c>
      <c r="G48" s="19">
        <v>1.411</v>
      </c>
      <c r="H48" s="16">
        <f t="shared" si="5"/>
        <v>0.16599999999999993</v>
      </c>
      <c r="I48" s="26">
        <f t="shared" si="6"/>
        <v>8.2999999999999972</v>
      </c>
      <c r="J48" s="15"/>
      <c r="K48" s="15"/>
      <c r="L48" s="25">
        <f t="shared" si="7"/>
        <v>91.7</v>
      </c>
      <c r="M48" s="15"/>
      <c r="N48" s="15"/>
      <c r="O48" s="17" t="s">
        <v>19</v>
      </c>
      <c r="P48" s="20"/>
    </row>
    <row r="49" spans="1:16" x14ac:dyDescent="0.25">
      <c r="A49" s="18"/>
      <c r="B49" s="19" t="s">
        <v>25</v>
      </c>
      <c r="C49" s="21">
        <v>1</v>
      </c>
      <c r="D49" s="22">
        <v>1</v>
      </c>
      <c r="E49" s="25">
        <f t="shared" si="4"/>
        <v>2</v>
      </c>
      <c r="F49" s="19">
        <v>1.359</v>
      </c>
      <c r="G49" s="19">
        <v>1.5189999999999999</v>
      </c>
      <c r="H49" s="16">
        <f t="shared" si="5"/>
        <v>0.15999999999999992</v>
      </c>
      <c r="I49" s="26">
        <f t="shared" si="6"/>
        <v>7.9999999999999964</v>
      </c>
      <c r="J49" s="15"/>
      <c r="K49" s="15"/>
      <c r="L49" s="25">
        <f t="shared" si="7"/>
        <v>92</v>
      </c>
      <c r="M49" s="15"/>
      <c r="N49" s="15"/>
      <c r="O49" s="17" t="s">
        <v>19</v>
      </c>
      <c r="P49" s="20"/>
    </row>
    <row r="50" spans="1:16" x14ac:dyDescent="0.25">
      <c r="A50" s="24" t="s">
        <v>26</v>
      </c>
      <c r="B50" s="19" t="s">
        <v>27</v>
      </c>
      <c r="C50" s="21">
        <v>1</v>
      </c>
      <c r="D50" s="22">
        <v>2</v>
      </c>
      <c r="E50" s="25">
        <f t="shared" si="4"/>
        <v>3</v>
      </c>
      <c r="F50" s="22">
        <v>1.7130000000000001</v>
      </c>
      <c r="G50" s="23">
        <v>1.857</v>
      </c>
      <c r="H50" s="16">
        <f t="shared" si="5"/>
        <v>0.14399999999999991</v>
      </c>
      <c r="I50" s="26">
        <f t="shared" si="6"/>
        <v>4.7999999999999963</v>
      </c>
      <c r="J50" s="15">
        <f>AVERAGE(I50:I52)</f>
        <v>4.8888888888888848</v>
      </c>
      <c r="K50" s="15">
        <f>_xlfn.STDEV.S(I50:I52)</f>
        <v>8.388704928078769E-2</v>
      </c>
      <c r="L50" s="25">
        <f t="shared" si="7"/>
        <v>95.2</v>
      </c>
      <c r="M50" s="15">
        <f>AVERAGE(L50:L52)</f>
        <v>95.111111111111128</v>
      </c>
      <c r="N50" s="15">
        <f>_xlfn.STDEV.S(L50:L52)</f>
        <v>8.3887049280787926E-2</v>
      </c>
      <c r="O50" s="17" t="s">
        <v>19</v>
      </c>
      <c r="P50" s="16"/>
    </row>
    <row r="51" spans="1:16" x14ac:dyDescent="0.25">
      <c r="A51" s="24"/>
      <c r="B51" s="19" t="s">
        <v>28</v>
      </c>
      <c r="C51" s="21">
        <v>1</v>
      </c>
      <c r="D51" s="22">
        <v>2</v>
      </c>
      <c r="E51" s="25">
        <f t="shared" si="4"/>
        <v>3</v>
      </c>
      <c r="F51" s="19">
        <v>1.903</v>
      </c>
      <c r="G51" s="19">
        <v>2.0499999999999998</v>
      </c>
      <c r="H51" s="16">
        <f t="shared" si="5"/>
        <v>0.1469999999999998</v>
      </c>
      <c r="I51" s="26">
        <f t="shared" si="6"/>
        <v>4.8999999999999932</v>
      </c>
      <c r="J51" s="15"/>
      <c r="K51" s="15"/>
      <c r="L51" s="25">
        <f t="shared" si="7"/>
        <v>95.100000000000009</v>
      </c>
      <c r="M51" s="15"/>
      <c r="N51" s="15"/>
      <c r="O51" s="17" t="s">
        <v>19</v>
      </c>
      <c r="P51" s="20"/>
    </row>
    <row r="52" spans="1:16" x14ac:dyDescent="0.25">
      <c r="A52" s="24"/>
      <c r="B52" s="19" t="s">
        <v>29</v>
      </c>
      <c r="C52" s="21">
        <v>1</v>
      </c>
      <c r="D52" s="22">
        <v>2</v>
      </c>
      <c r="E52" s="25">
        <f t="shared" si="4"/>
        <v>3</v>
      </c>
      <c r="F52" s="19">
        <v>1.3360000000000001</v>
      </c>
      <c r="G52" s="19">
        <v>1.4850000000000001</v>
      </c>
      <c r="H52" s="16">
        <f t="shared" si="5"/>
        <v>0.14900000000000002</v>
      </c>
      <c r="I52" s="26">
        <f t="shared" si="6"/>
        <v>4.9666666666666668</v>
      </c>
      <c r="J52" s="15"/>
      <c r="K52" s="15"/>
      <c r="L52" s="25">
        <f t="shared" si="7"/>
        <v>95.033333333333331</v>
      </c>
      <c r="M52" s="15"/>
      <c r="N52" s="15"/>
      <c r="O52" s="17" t="s">
        <v>19</v>
      </c>
      <c r="P52" s="20"/>
    </row>
    <row r="53" spans="1:16" x14ac:dyDescent="0.25">
      <c r="A53" s="24" t="s">
        <v>30</v>
      </c>
      <c r="B53" s="19" t="s">
        <v>31</v>
      </c>
      <c r="C53" s="21">
        <v>1</v>
      </c>
      <c r="D53" s="22">
        <v>3</v>
      </c>
      <c r="E53" s="25">
        <f t="shared" si="4"/>
        <v>4</v>
      </c>
      <c r="F53" s="22">
        <v>1.6839999999999999</v>
      </c>
      <c r="G53" s="23">
        <v>1.772</v>
      </c>
      <c r="H53" s="16">
        <f t="shared" si="5"/>
        <v>8.8000000000000078E-2</v>
      </c>
      <c r="I53" s="26">
        <f t="shared" si="6"/>
        <v>2.200000000000002</v>
      </c>
      <c r="J53" s="15">
        <f>AVERAGE(I53:I55)</f>
        <v>2.2416666666666658</v>
      </c>
      <c r="K53" s="15">
        <f>_xlfn.STDEV.S(I53:I55)</f>
        <v>7.216878364870323E-2</v>
      </c>
      <c r="L53" s="25">
        <f t="shared" si="7"/>
        <v>97.8</v>
      </c>
      <c r="M53" s="15">
        <f>AVERAGE(L53:L55)</f>
        <v>97.758333333333326</v>
      </c>
      <c r="N53" s="15">
        <f>_xlfn.STDEV.S(L53:L55)</f>
        <v>7.2168783648703216E-2</v>
      </c>
      <c r="O53" s="17" t="s">
        <v>19</v>
      </c>
      <c r="P53" s="16"/>
    </row>
    <row r="54" spans="1:16" x14ac:dyDescent="0.25">
      <c r="A54" s="24"/>
      <c r="B54" s="19" t="s">
        <v>32</v>
      </c>
      <c r="C54" s="21">
        <v>1</v>
      </c>
      <c r="D54" s="22">
        <v>3</v>
      </c>
      <c r="E54" s="25">
        <f t="shared" si="4"/>
        <v>4</v>
      </c>
      <c r="F54" s="19">
        <v>1.2390000000000001</v>
      </c>
      <c r="G54" s="19">
        <v>1.327</v>
      </c>
      <c r="H54" s="16">
        <f t="shared" si="5"/>
        <v>8.7999999999999856E-2</v>
      </c>
      <c r="I54" s="26">
        <f t="shared" si="6"/>
        <v>2.1999999999999966</v>
      </c>
      <c r="J54" s="15"/>
      <c r="K54" s="15"/>
      <c r="L54" s="25">
        <f t="shared" si="7"/>
        <v>97.8</v>
      </c>
      <c r="M54" s="15"/>
      <c r="N54" s="15"/>
      <c r="O54" s="17" t="s">
        <v>19</v>
      </c>
      <c r="P54" s="20"/>
    </row>
    <row r="55" spans="1:16" x14ac:dyDescent="0.25">
      <c r="A55" s="24"/>
      <c r="B55" s="19" t="s">
        <v>33</v>
      </c>
      <c r="C55" s="21">
        <v>1</v>
      </c>
      <c r="D55" s="22">
        <v>3</v>
      </c>
      <c r="E55" s="25">
        <f t="shared" si="4"/>
        <v>4</v>
      </c>
      <c r="F55" s="19">
        <v>1.736</v>
      </c>
      <c r="G55" s="19">
        <v>1.829</v>
      </c>
      <c r="H55" s="16">
        <f t="shared" si="5"/>
        <v>9.2999999999999972E-2</v>
      </c>
      <c r="I55" s="26">
        <f t="shared" si="6"/>
        <v>2.3249999999999993</v>
      </c>
      <c r="J55" s="15"/>
      <c r="K55" s="15"/>
      <c r="L55" s="25">
        <f t="shared" si="7"/>
        <v>97.674999999999997</v>
      </c>
      <c r="M55" s="15"/>
      <c r="N55" s="15"/>
      <c r="O55" s="17" t="s">
        <v>19</v>
      </c>
      <c r="P55" s="20"/>
    </row>
    <row r="56" spans="1:16" x14ac:dyDescent="0.25">
      <c r="A56" s="24" t="s">
        <v>34</v>
      </c>
      <c r="B56" s="19" t="s">
        <v>35</v>
      </c>
      <c r="C56" s="21">
        <v>2</v>
      </c>
      <c r="D56" s="22">
        <v>0</v>
      </c>
      <c r="E56" s="25">
        <f t="shared" si="4"/>
        <v>2</v>
      </c>
      <c r="F56" s="22">
        <v>1.9319999999999999</v>
      </c>
      <c r="G56" s="23">
        <v>2.024</v>
      </c>
      <c r="H56" s="16">
        <f t="shared" si="5"/>
        <v>9.2000000000000082E-2</v>
      </c>
      <c r="I56" s="26">
        <f t="shared" si="6"/>
        <v>4.6000000000000041</v>
      </c>
      <c r="J56" s="15">
        <f>AVERAGE(I56:I58)</f>
        <v>4.5666666666666673</v>
      </c>
      <c r="K56" s="15">
        <f>_xlfn.STDEV.S(I56:I58)</f>
        <v>0.10408329997330762</v>
      </c>
      <c r="L56" s="25">
        <f t="shared" si="7"/>
        <v>95.399999999999991</v>
      </c>
      <c r="M56" s="15">
        <f>AVERAGE(L56:L58)</f>
        <v>95.433333333333337</v>
      </c>
      <c r="N56" s="15">
        <f>_xlfn.STDEV.S(L56:L58)</f>
        <v>0.10408329997330869</v>
      </c>
      <c r="O56" s="16"/>
      <c r="P56" s="17" t="s">
        <v>19</v>
      </c>
    </row>
    <row r="57" spans="1:16" x14ac:dyDescent="0.25">
      <c r="A57" s="24"/>
      <c r="B57" s="19" t="s">
        <v>36</v>
      </c>
      <c r="C57" s="21">
        <v>2</v>
      </c>
      <c r="D57" s="22">
        <v>0</v>
      </c>
      <c r="E57" s="25">
        <f t="shared" si="4"/>
        <v>2</v>
      </c>
      <c r="F57" s="19">
        <v>1.4570000000000001</v>
      </c>
      <c r="G57" s="19">
        <v>1.55</v>
      </c>
      <c r="H57" s="16">
        <f t="shared" si="5"/>
        <v>9.2999999999999972E-2</v>
      </c>
      <c r="I57" s="26">
        <f t="shared" si="6"/>
        <v>4.6499999999999986</v>
      </c>
      <c r="J57" s="15"/>
      <c r="K57" s="15"/>
      <c r="L57" s="25">
        <f t="shared" si="7"/>
        <v>95.35</v>
      </c>
      <c r="M57" s="15"/>
      <c r="N57" s="15"/>
      <c r="O57" s="20"/>
      <c r="P57" s="17" t="s">
        <v>19</v>
      </c>
    </row>
    <row r="58" spans="1:16" x14ac:dyDescent="0.25">
      <c r="A58" s="24"/>
      <c r="B58" s="19" t="s">
        <v>37</v>
      </c>
      <c r="C58" s="21">
        <v>2</v>
      </c>
      <c r="D58" s="22">
        <v>0</v>
      </c>
      <c r="E58" s="25">
        <f t="shared" si="4"/>
        <v>2</v>
      </c>
      <c r="F58" s="19">
        <v>1.45</v>
      </c>
      <c r="G58" s="19">
        <v>1.5389999999999999</v>
      </c>
      <c r="H58" s="16">
        <f t="shared" si="5"/>
        <v>8.8999999999999968E-2</v>
      </c>
      <c r="I58" s="26">
        <f t="shared" si="6"/>
        <v>4.4499999999999984</v>
      </c>
      <c r="J58" s="15"/>
      <c r="K58" s="15"/>
      <c r="L58" s="25">
        <f t="shared" si="7"/>
        <v>95.55</v>
      </c>
      <c r="M58" s="15"/>
      <c r="N58" s="15"/>
      <c r="O58" s="20"/>
      <c r="P58" s="17" t="s">
        <v>19</v>
      </c>
    </row>
    <row r="59" spans="1:16" x14ac:dyDescent="0.25">
      <c r="A59" s="24" t="s">
        <v>38</v>
      </c>
      <c r="B59" s="19" t="s">
        <v>39</v>
      </c>
      <c r="C59" s="21">
        <v>2</v>
      </c>
      <c r="D59" s="22">
        <v>1</v>
      </c>
      <c r="E59" s="25">
        <f t="shared" si="4"/>
        <v>3</v>
      </c>
      <c r="F59" s="22">
        <v>1.744</v>
      </c>
      <c r="G59" s="23">
        <v>2.0419999999999998</v>
      </c>
      <c r="H59" s="16">
        <f t="shared" si="5"/>
        <v>0.29799999999999982</v>
      </c>
      <c r="I59" s="26">
        <f t="shared" si="6"/>
        <v>9.9333333333333265</v>
      </c>
      <c r="J59" s="15">
        <f>AVERAGE(I59:I61)</f>
        <v>9.9111111111111061</v>
      </c>
      <c r="K59" s="15">
        <f>_xlfn.STDEV.S(I59:I61)</f>
        <v>0.13471506281091272</v>
      </c>
      <c r="L59" s="25">
        <f t="shared" si="7"/>
        <v>90.066666666666677</v>
      </c>
      <c r="M59" s="15">
        <f>AVERAGE(L59:L61)</f>
        <v>90.088888888888903</v>
      </c>
      <c r="N59" s="15">
        <f>_xlfn.STDEV.S(L59:L61)</f>
        <v>0.13471506281091147</v>
      </c>
      <c r="O59" s="17" t="s">
        <v>19</v>
      </c>
      <c r="P59" s="20"/>
    </row>
    <row r="60" spans="1:16" x14ac:dyDescent="0.25">
      <c r="A60" s="24"/>
      <c r="B60" s="19" t="s">
        <v>40</v>
      </c>
      <c r="C60" s="21">
        <v>2</v>
      </c>
      <c r="D60" s="22">
        <v>1</v>
      </c>
      <c r="E60" s="25">
        <f t="shared" si="4"/>
        <v>3</v>
      </c>
      <c r="F60" s="19">
        <v>1.389</v>
      </c>
      <c r="G60" s="19">
        <v>1.69</v>
      </c>
      <c r="H60" s="16">
        <f t="shared" si="5"/>
        <v>0.30099999999999993</v>
      </c>
      <c r="I60" s="26">
        <f t="shared" si="6"/>
        <v>10.033333333333331</v>
      </c>
      <c r="J60" s="15"/>
      <c r="K60" s="15"/>
      <c r="L60" s="25">
        <f t="shared" si="7"/>
        <v>89.966666666666669</v>
      </c>
      <c r="M60" s="15"/>
      <c r="N60" s="15"/>
      <c r="O60" s="17" t="s">
        <v>19</v>
      </c>
      <c r="P60" s="20"/>
    </row>
    <row r="61" spans="1:16" x14ac:dyDescent="0.25">
      <c r="A61" s="24"/>
      <c r="B61" s="19" t="s">
        <v>41</v>
      </c>
      <c r="C61" s="21">
        <v>2</v>
      </c>
      <c r="D61" s="22">
        <v>1</v>
      </c>
      <c r="E61" s="25">
        <f t="shared" si="4"/>
        <v>3</v>
      </c>
      <c r="F61" s="19">
        <v>1.8720000000000001</v>
      </c>
      <c r="G61" s="19">
        <v>2.165</v>
      </c>
      <c r="H61" s="16">
        <f t="shared" si="5"/>
        <v>0.29299999999999993</v>
      </c>
      <c r="I61" s="26">
        <f t="shared" si="6"/>
        <v>9.7666666666666639</v>
      </c>
      <c r="J61" s="15"/>
      <c r="K61" s="15"/>
      <c r="L61" s="25">
        <f t="shared" si="7"/>
        <v>90.233333333333334</v>
      </c>
      <c r="M61" s="15"/>
      <c r="N61" s="15"/>
      <c r="O61" s="17" t="s">
        <v>19</v>
      </c>
      <c r="P61" s="20"/>
    </row>
    <row r="62" spans="1:16" x14ac:dyDescent="0.25">
      <c r="A62" s="24" t="s">
        <v>42</v>
      </c>
      <c r="B62" s="19" t="s">
        <v>43</v>
      </c>
      <c r="C62" s="21">
        <v>2</v>
      </c>
      <c r="D62" s="22">
        <v>2</v>
      </c>
      <c r="E62" s="25">
        <f t="shared" si="4"/>
        <v>4</v>
      </c>
      <c r="F62" s="22">
        <v>1.893</v>
      </c>
      <c r="G62" s="23">
        <v>2.1110000000000002</v>
      </c>
      <c r="H62" s="16">
        <f t="shared" si="5"/>
        <v>0.21800000000000019</v>
      </c>
      <c r="I62" s="26">
        <f t="shared" si="6"/>
        <v>5.4500000000000046</v>
      </c>
      <c r="J62" s="15">
        <f>AVERAGE(I62:I64)</f>
        <v>5.4666666666666659</v>
      </c>
      <c r="K62" s="15">
        <f>_xlfn.STDEV.S(I62:I64)</f>
        <v>2.8867513459476572E-2</v>
      </c>
      <c r="L62" s="25">
        <f t="shared" si="7"/>
        <v>94.55</v>
      </c>
      <c r="M62" s="15">
        <f>AVERAGE(L62:L64)</f>
        <v>94.533333333333346</v>
      </c>
      <c r="N62" s="15">
        <f>_xlfn.STDEV.S(L62:L64)</f>
        <v>2.886751345947965E-2</v>
      </c>
      <c r="O62" s="17" t="s">
        <v>19</v>
      </c>
      <c r="P62" s="16"/>
    </row>
    <row r="63" spans="1:16" x14ac:dyDescent="0.25">
      <c r="A63" s="24"/>
      <c r="B63" s="19" t="s">
        <v>44</v>
      </c>
      <c r="C63" s="21">
        <v>2</v>
      </c>
      <c r="D63" s="22">
        <v>2</v>
      </c>
      <c r="E63" s="25">
        <f t="shared" si="4"/>
        <v>4</v>
      </c>
      <c r="F63" s="19">
        <v>1.79</v>
      </c>
      <c r="G63" s="19">
        <v>2.0099999999999998</v>
      </c>
      <c r="H63" s="16">
        <f t="shared" si="5"/>
        <v>0.21999999999999975</v>
      </c>
      <c r="I63" s="26">
        <f t="shared" si="6"/>
        <v>5.4999999999999938</v>
      </c>
      <c r="J63" s="15"/>
      <c r="K63" s="15"/>
      <c r="L63" s="25">
        <f t="shared" si="7"/>
        <v>94.5</v>
      </c>
      <c r="M63" s="15"/>
      <c r="N63" s="15"/>
      <c r="O63" s="17" t="s">
        <v>19</v>
      </c>
      <c r="P63" s="20"/>
    </row>
    <row r="64" spans="1:16" x14ac:dyDescent="0.25">
      <c r="A64" s="24"/>
      <c r="B64" s="19" t="s">
        <v>45</v>
      </c>
      <c r="C64" s="21">
        <v>2</v>
      </c>
      <c r="D64" s="22">
        <v>2</v>
      </c>
      <c r="E64" s="25">
        <f t="shared" si="4"/>
        <v>4</v>
      </c>
      <c r="F64" s="19">
        <v>1.4359999999999999</v>
      </c>
      <c r="G64" s="19">
        <v>1.6539999999999999</v>
      </c>
      <c r="H64" s="16">
        <f t="shared" si="5"/>
        <v>0.21799999999999997</v>
      </c>
      <c r="I64" s="26">
        <f t="shared" si="6"/>
        <v>5.4499999999999993</v>
      </c>
      <c r="J64" s="15"/>
      <c r="K64" s="15"/>
      <c r="L64" s="25">
        <f t="shared" si="7"/>
        <v>94.55</v>
      </c>
      <c r="M64" s="15"/>
      <c r="N64" s="15"/>
      <c r="O64" s="17" t="s">
        <v>19</v>
      </c>
      <c r="P64" s="20"/>
    </row>
    <row r="65" spans="1:16" x14ac:dyDescent="0.25">
      <c r="A65" s="24" t="s">
        <v>46</v>
      </c>
      <c r="B65" s="19" t="s">
        <v>47</v>
      </c>
      <c r="C65" s="21">
        <v>2</v>
      </c>
      <c r="D65" s="22">
        <v>3</v>
      </c>
      <c r="E65" s="25">
        <f t="shared" si="4"/>
        <v>5</v>
      </c>
      <c r="F65" s="22">
        <v>1.865</v>
      </c>
      <c r="G65" s="23">
        <v>1.982</v>
      </c>
      <c r="H65" s="16">
        <f t="shared" si="5"/>
        <v>0.11699999999999999</v>
      </c>
      <c r="I65" s="26">
        <f t="shared" si="6"/>
        <v>2.34</v>
      </c>
      <c r="J65" s="15">
        <f>AVERAGE(I65:I67)</f>
        <v>2.3333333333333326</v>
      </c>
      <c r="K65" s="15">
        <f>_xlfn.STDEV.S(I65:I67)</f>
        <v>5.0332229568472886E-2</v>
      </c>
      <c r="L65" s="25">
        <f t="shared" si="7"/>
        <v>97.66</v>
      </c>
      <c r="M65" s="15">
        <f>AVERAGE(L65:L67)</f>
        <v>97.666666666666671</v>
      </c>
      <c r="N65" s="15">
        <f>_xlfn.STDEV.S(L65:L67)</f>
        <v>5.0332229568469181E-2</v>
      </c>
      <c r="O65" s="17" t="s">
        <v>19</v>
      </c>
      <c r="P65" s="16"/>
    </row>
    <row r="66" spans="1:16" x14ac:dyDescent="0.25">
      <c r="A66" s="24"/>
      <c r="B66" s="19" t="s">
        <v>48</v>
      </c>
      <c r="C66" s="21">
        <v>2</v>
      </c>
      <c r="D66" s="22">
        <v>3</v>
      </c>
      <c r="E66" s="25">
        <f t="shared" si="4"/>
        <v>5</v>
      </c>
      <c r="F66" s="19">
        <v>1.8340000000000001</v>
      </c>
      <c r="G66" s="19">
        <v>1.948</v>
      </c>
      <c r="H66" s="16">
        <f t="shared" si="5"/>
        <v>0.11399999999999988</v>
      </c>
      <c r="I66" s="26">
        <f t="shared" si="6"/>
        <v>2.2799999999999976</v>
      </c>
      <c r="J66" s="15"/>
      <c r="K66" s="15"/>
      <c r="L66" s="25">
        <f t="shared" si="7"/>
        <v>97.72</v>
      </c>
      <c r="M66" s="15"/>
      <c r="N66" s="15"/>
      <c r="O66" s="17" t="s">
        <v>19</v>
      </c>
      <c r="P66" s="20"/>
    </row>
    <row r="67" spans="1:16" x14ac:dyDescent="0.25">
      <c r="A67" s="24"/>
      <c r="B67" s="19" t="s">
        <v>49</v>
      </c>
      <c r="C67" s="21">
        <v>2</v>
      </c>
      <c r="D67" s="22">
        <v>3</v>
      </c>
      <c r="E67" s="25">
        <f t="shared" si="4"/>
        <v>5</v>
      </c>
      <c r="F67" s="19">
        <v>1.351</v>
      </c>
      <c r="G67" s="19">
        <v>1.47</v>
      </c>
      <c r="H67" s="16">
        <f t="shared" si="5"/>
        <v>0.11899999999999999</v>
      </c>
      <c r="I67" s="26">
        <f t="shared" si="6"/>
        <v>2.38</v>
      </c>
      <c r="J67" s="15"/>
      <c r="K67" s="15"/>
      <c r="L67" s="25">
        <f t="shared" si="7"/>
        <v>97.62</v>
      </c>
      <c r="M67" s="15"/>
      <c r="N67" s="15"/>
      <c r="O67" s="17" t="s">
        <v>19</v>
      </c>
      <c r="P67" s="20"/>
    </row>
    <row r="68" spans="1:16" x14ac:dyDescent="0.25">
      <c r="A68" s="24" t="s">
        <v>50</v>
      </c>
      <c r="B68" s="19" t="s">
        <v>51</v>
      </c>
      <c r="C68" s="21">
        <v>3</v>
      </c>
      <c r="D68" s="22">
        <v>0</v>
      </c>
      <c r="E68" s="25">
        <f t="shared" si="4"/>
        <v>3</v>
      </c>
      <c r="F68" s="22">
        <v>1.77</v>
      </c>
      <c r="G68" s="16">
        <v>2.1669999999999998</v>
      </c>
      <c r="H68" s="16">
        <f t="shared" si="5"/>
        <v>0.3969999999999998</v>
      </c>
      <c r="I68" s="26">
        <f t="shared" si="6"/>
        <v>13.233333333333327</v>
      </c>
      <c r="J68" s="15">
        <f>AVERAGE(I68:I70)</f>
        <v>13.188888888888888</v>
      </c>
      <c r="K68" s="15">
        <f>_xlfn.STDEV.S(I68:I70)</f>
        <v>7.6980035891947254E-2</v>
      </c>
      <c r="L68" s="25">
        <f t="shared" si="7"/>
        <v>86.76666666666668</v>
      </c>
      <c r="M68" s="15">
        <f>AVERAGE(L68:L70)</f>
        <v>86.811111111111131</v>
      </c>
      <c r="N68" s="15">
        <f>_xlfn.STDEV.S(L68:L70)</f>
        <v>7.6980035891949836E-2</v>
      </c>
      <c r="O68" s="16"/>
      <c r="P68" s="17" t="s">
        <v>19</v>
      </c>
    </row>
    <row r="69" spans="1:16" x14ac:dyDescent="0.25">
      <c r="A69" s="24"/>
      <c r="B69" s="19" t="s">
        <v>52</v>
      </c>
      <c r="C69" s="21">
        <v>3</v>
      </c>
      <c r="D69" s="22">
        <v>0</v>
      </c>
      <c r="E69" s="25">
        <f t="shared" si="4"/>
        <v>3</v>
      </c>
      <c r="F69" s="19">
        <v>1.321</v>
      </c>
      <c r="G69" s="19">
        <v>1.718</v>
      </c>
      <c r="H69" s="16">
        <f t="shared" si="5"/>
        <v>0.39700000000000002</v>
      </c>
      <c r="I69" s="26">
        <f t="shared" si="6"/>
        <v>13.233333333333333</v>
      </c>
      <c r="J69" s="15"/>
      <c r="K69" s="15"/>
      <c r="L69" s="25">
        <f t="shared" si="7"/>
        <v>86.766666666666666</v>
      </c>
      <c r="M69" s="15"/>
      <c r="N69" s="15"/>
      <c r="O69" s="20"/>
      <c r="P69" s="17" t="s">
        <v>19</v>
      </c>
    </row>
    <row r="70" spans="1:16" x14ac:dyDescent="0.25">
      <c r="A70" s="24"/>
      <c r="B70" s="19" t="s">
        <v>53</v>
      </c>
      <c r="C70" s="21">
        <v>3</v>
      </c>
      <c r="D70" s="22">
        <v>0</v>
      </c>
      <c r="E70" s="25">
        <f t="shared" si="4"/>
        <v>3</v>
      </c>
      <c r="F70" s="19">
        <v>1.389</v>
      </c>
      <c r="G70" s="19">
        <v>1.782</v>
      </c>
      <c r="H70" s="16">
        <f t="shared" si="5"/>
        <v>0.39300000000000002</v>
      </c>
      <c r="I70" s="26">
        <f t="shared" si="6"/>
        <v>13.100000000000001</v>
      </c>
      <c r="J70" s="15"/>
      <c r="K70" s="15"/>
      <c r="L70" s="25">
        <f t="shared" si="7"/>
        <v>86.9</v>
      </c>
      <c r="M70" s="15"/>
      <c r="N70" s="15"/>
      <c r="O70" s="20"/>
      <c r="P70" s="17" t="s">
        <v>19</v>
      </c>
    </row>
    <row r="71" spans="1:16" x14ac:dyDescent="0.25">
      <c r="A71" s="24" t="s">
        <v>54</v>
      </c>
      <c r="B71" s="19" t="s">
        <v>55</v>
      </c>
      <c r="C71" s="21">
        <v>3</v>
      </c>
      <c r="D71" s="22">
        <v>1</v>
      </c>
      <c r="E71" s="25">
        <f t="shared" si="4"/>
        <v>4</v>
      </c>
      <c r="F71" s="22">
        <v>1.72</v>
      </c>
      <c r="G71" s="16">
        <v>2.0550000000000002</v>
      </c>
      <c r="H71" s="16">
        <f t="shared" si="5"/>
        <v>0.33500000000000019</v>
      </c>
      <c r="I71" s="26">
        <f t="shared" si="6"/>
        <v>8.3750000000000053</v>
      </c>
      <c r="J71" s="15">
        <f>AVERAGE(I71:I73)</f>
        <v>8.3500000000000032</v>
      </c>
      <c r="K71" s="15">
        <f>_xlfn.STDEV.S(I71:I73)</f>
        <v>6.614378277661738E-2</v>
      </c>
      <c r="L71" s="25">
        <f t="shared" si="7"/>
        <v>91.625</v>
      </c>
      <c r="M71" s="15">
        <f>AVERAGE(L71:L73)</f>
        <v>91.649999999999991</v>
      </c>
      <c r="N71" s="15">
        <f>_xlfn.STDEV.S(L71:L73)</f>
        <v>6.6143782776613688E-2</v>
      </c>
      <c r="O71" s="17" t="s">
        <v>19</v>
      </c>
      <c r="P71" s="16"/>
    </row>
    <row r="72" spans="1:16" x14ac:dyDescent="0.25">
      <c r="A72" s="24"/>
      <c r="B72" s="19" t="s">
        <v>56</v>
      </c>
      <c r="C72" s="21">
        <v>3</v>
      </c>
      <c r="D72" s="22">
        <v>1</v>
      </c>
      <c r="E72" s="25">
        <f t="shared" si="4"/>
        <v>4</v>
      </c>
      <c r="F72" s="19">
        <v>1.0980000000000001</v>
      </c>
      <c r="G72" s="19">
        <v>1.429</v>
      </c>
      <c r="H72" s="16">
        <f t="shared" si="5"/>
        <v>0.33099999999999996</v>
      </c>
      <c r="I72" s="26">
        <f t="shared" si="6"/>
        <v>8.2749999999999986</v>
      </c>
      <c r="J72" s="15"/>
      <c r="K72" s="15"/>
      <c r="L72" s="25">
        <f t="shared" si="7"/>
        <v>91.724999999999994</v>
      </c>
      <c r="M72" s="15"/>
      <c r="N72" s="15"/>
      <c r="O72" s="17" t="s">
        <v>19</v>
      </c>
      <c r="P72" s="20"/>
    </row>
    <row r="73" spans="1:16" x14ac:dyDescent="0.25">
      <c r="A73" s="24"/>
      <c r="B73" s="19" t="s">
        <v>57</v>
      </c>
      <c r="C73" s="21">
        <v>3</v>
      </c>
      <c r="D73" s="22">
        <v>1</v>
      </c>
      <c r="E73" s="25">
        <f t="shared" si="4"/>
        <v>4</v>
      </c>
      <c r="F73" s="19">
        <v>1.6519999999999999</v>
      </c>
      <c r="G73" s="19">
        <v>1.988</v>
      </c>
      <c r="H73" s="16">
        <f t="shared" si="5"/>
        <v>0.33600000000000008</v>
      </c>
      <c r="I73" s="26">
        <f t="shared" si="6"/>
        <v>8.4000000000000021</v>
      </c>
      <c r="J73" s="15"/>
      <c r="K73" s="15"/>
      <c r="L73" s="25">
        <f t="shared" si="7"/>
        <v>91.6</v>
      </c>
      <c r="M73" s="15"/>
      <c r="N73" s="15"/>
      <c r="O73" s="17" t="s">
        <v>19</v>
      </c>
      <c r="P73" s="20"/>
    </row>
    <row r="74" spans="1:16" x14ac:dyDescent="0.25">
      <c r="A74" s="24" t="s">
        <v>58</v>
      </c>
      <c r="B74" s="19" t="s">
        <v>59</v>
      </c>
      <c r="C74" s="21">
        <v>3</v>
      </c>
      <c r="D74" s="22">
        <v>2</v>
      </c>
      <c r="E74" s="25">
        <f t="shared" si="4"/>
        <v>5</v>
      </c>
      <c r="F74" s="22">
        <v>2.0529999999999999</v>
      </c>
      <c r="G74" s="16">
        <v>2.238</v>
      </c>
      <c r="H74" s="16">
        <f t="shared" si="5"/>
        <v>0.18500000000000005</v>
      </c>
      <c r="I74" s="26">
        <f t="shared" si="6"/>
        <v>3.7000000000000011</v>
      </c>
      <c r="J74" s="15">
        <f>AVERAGE(I74:I76)</f>
        <v>3.6800000000000019</v>
      </c>
      <c r="K74" s="15">
        <f>_xlfn.STDEV.S(I74:I76)</f>
        <v>9.1651513899113496E-2</v>
      </c>
      <c r="L74" s="25">
        <f t="shared" si="7"/>
        <v>96.3</v>
      </c>
      <c r="M74" s="15">
        <f>AVERAGE(L74:L76)</f>
        <v>96.32</v>
      </c>
      <c r="N74" s="15">
        <f>_xlfn.STDEV.S(L74:L76)</f>
        <v>9.1651513899112524E-2</v>
      </c>
      <c r="O74" s="17" t="s">
        <v>19</v>
      </c>
      <c r="P74" s="16"/>
    </row>
    <row r="75" spans="1:16" x14ac:dyDescent="0.25">
      <c r="A75" s="24"/>
      <c r="B75" s="19" t="s">
        <v>60</v>
      </c>
      <c r="C75" s="21">
        <v>3</v>
      </c>
      <c r="D75" s="22">
        <v>2</v>
      </c>
      <c r="E75" s="25">
        <f t="shared" si="4"/>
        <v>5</v>
      </c>
      <c r="F75" s="19">
        <v>2.0659999999999998</v>
      </c>
      <c r="G75" s="19">
        <v>2.2450000000000001</v>
      </c>
      <c r="H75" s="16">
        <f t="shared" si="5"/>
        <v>0.17900000000000027</v>
      </c>
      <c r="I75" s="26">
        <f t="shared" si="6"/>
        <v>3.5800000000000054</v>
      </c>
      <c r="J75" s="15"/>
      <c r="K75" s="15"/>
      <c r="L75" s="25">
        <f t="shared" si="7"/>
        <v>96.419999999999987</v>
      </c>
      <c r="M75" s="15"/>
      <c r="N75" s="15"/>
      <c r="O75" s="17" t="s">
        <v>19</v>
      </c>
      <c r="P75" s="20"/>
    </row>
    <row r="76" spans="1:16" x14ac:dyDescent="0.25">
      <c r="A76" s="24"/>
      <c r="B76" s="19" t="s">
        <v>61</v>
      </c>
      <c r="C76" s="21">
        <v>3</v>
      </c>
      <c r="D76" s="22">
        <v>2</v>
      </c>
      <c r="E76" s="25">
        <f t="shared" si="4"/>
        <v>5</v>
      </c>
      <c r="F76" s="19">
        <v>1.248</v>
      </c>
      <c r="G76" s="19">
        <v>1.4359999999999999</v>
      </c>
      <c r="H76" s="16">
        <f t="shared" si="5"/>
        <v>0.18799999999999994</v>
      </c>
      <c r="I76" s="26">
        <f t="shared" si="6"/>
        <v>3.7599999999999989</v>
      </c>
      <c r="J76" s="15"/>
      <c r="K76" s="15"/>
      <c r="L76" s="25">
        <f t="shared" si="7"/>
        <v>96.24</v>
      </c>
      <c r="M76" s="15"/>
      <c r="N76" s="15"/>
      <c r="O76" s="17" t="s">
        <v>19</v>
      </c>
      <c r="P76" s="20"/>
    </row>
    <row r="77" spans="1:16" x14ac:dyDescent="0.25">
      <c r="A77" s="24" t="s">
        <v>62</v>
      </c>
      <c r="B77" s="19" t="s">
        <v>63</v>
      </c>
      <c r="C77" s="21">
        <v>3</v>
      </c>
      <c r="D77" s="22">
        <v>3</v>
      </c>
      <c r="E77" s="25">
        <f t="shared" si="4"/>
        <v>6</v>
      </c>
      <c r="F77" s="22">
        <v>1.7729999999999999</v>
      </c>
      <c r="G77" s="16">
        <v>1.907</v>
      </c>
      <c r="H77" s="16">
        <f t="shared" si="5"/>
        <v>0.13400000000000012</v>
      </c>
      <c r="I77" s="26">
        <f t="shared" si="6"/>
        <v>2.2333333333333356</v>
      </c>
      <c r="J77" s="15">
        <f>AVERAGE(I77:I79)</f>
        <v>2.2611111111111115</v>
      </c>
      <c r="K77" s="15">
        <f>_xlfn.STDEV.S(I77:I79)</f>
        <v>4.8112522432465311E-2</v>
      </c>
      <c r="L77" s="25">
        <f t="shared" si="7"/>
        <v>97.766666666666666</v>
      </c>
      <c r="M77" s="15">
        <f>AVERAGE(L77:L79)</f>
        <v>97.738888888888894</v>
      </c>
      <c r="N77" s="15">
        <f>_xlfn.STDEV.S(L77:L79)</f>
        <v>4.8112522432466082E-2</v>
      </c>
      <c r="O77" s="17" t="s">
        <v>19</v>
      </c>
      <c r="P77" s="16"/>
    </row>
    <row r="78" spans="1:16" x14ac:dyDescent="0.25">
      <c r="A78" s="24"/>
      <c r="B78" s="19" t="s">
        <v>64</v>
      </c>
      <c r="C78" s="21">
        <v>3</v>
      </c>
      <c r="D78" s="22">
        <v>3</v>
      </c>
      <c r="E78" s="25">
        <f t="shared" si="4"/>
        <v>6</v>
      </c>
      <c r="F78" s="19">
        <v>1.238</v>
      </c>
      <c r="G78" s="19">
        <v>1.3720000000000001</v>
      </c>
      <c r="H78" s="16">
        <f t="shared" si="5"/>
        <v>0.13400000000000012</v>
      </c>
      <c r="I78" s="26">
        <f t="shared" si="6"/>
        <v>2.2333333333333356</v>
      </c>
      <c r="J78" s="15"/>
      <c r="K78" s="15"/>
      <c r="L78" s="25">
        <f t="shared" si="7"/>
        <v>97.766666666666666</v>
      </c>
      <c r="M78" s="15"/>
      <c r="N78" s="15"/>
      <c r="O78" s="17" t="s">
        <v>19</v>
      </c>
      <c r="P78" s="20"/>
    </row>
    <row r="79" spans="1:16" x14ac:dyDescent="0.25">
      <c r="A79" s="24"/>
      <c r="B79" s="19" t="s">
        <v>65</v>
      </c>
      <c r="C79" s="21">
        <v>3</v>
      </c>
      <c r="D79" s="22">
        <v>3</v>
      </c>
      <c r="E79" s="25">
        <f t="shared" si="4"/>
        <v>6</v>
      </c>
      <c r="F79" s="19">
        <v>1.895</v>
      </c>
      <c r="G79" s="19">
        <v>2.0339999999999998</v>
      </c>
      <c r="H79" s="16">
        <f t="shared" si="5"/>
        <v>0.13899999999999979</v>
      </c>
      <c r="I79" s="26">
        <f t="shared" si="6"/>
        <v>2.3166666666666629</v>
      </c>
      <c r="J79" s="15"/>
      <c r="K79" s="15"/>
      <c r="L79" s="25">
        <f t="shared" si="7"/>
        <v>97.683333333333337</v>
      </c>
      <c r="M79" s="15"/>
      <c r="N79" s="15"/>
      <c r="O79" s="17" t="s">
        <v>19</v>
      </c>
      <c r="P79" s="20"/>
    </row>
  </sheetData>
  <mergeCells count="152">
    <mergeCell ref="A74:A76"/>
    <mergeCell ref="J74:J76"/>
    <mergeCell ref="K74:K76"/>
    <mergeCell ref="M74:M76"/>
    <mergeCell ref="N74:N76"/>
    <mergeCell ref="A77:A79"/>
    <mergeCell ref="J77:J79"/>
    <mergeCell ref="K77:K79"/>
    <mergeCell ref="M77:M79"/>
    <mergeCell ref="N77:N79"/>
    <mergeCell ref="A68:A70"/>
    <mergeCell ref="J68:J70"/>
    <mergeCell ref="K68:K70"/>
    <mergeCell ref="M68:M70"/>
    <mergeCell ref="N68:N70"/>
    <mergeCell ref="A71:A73"/>
    <mergeCell ref="J71:J73"/>
    <mergeCell ref="K71:K73"/>
    <mergeCell ref="M71:M73"/>
    <mergeCell ref="N71:N73"/>
    <mergeCell ref="A62:A64"/>
    <mergeCell ref="J62:J64"/>
    <mergeCell ref="K62:K64"/>
    <mergeCell ref="M62:M64"/>
    <mergeCell ref="N62:N64"/>
    <mergeCell ref="A65:A67"/>
    <mergeCell ref="J65:J67"/>
    <mergeCell ref="K65:K67"/>
    <mergeCell ref="M65:M67"/>
    <mergeCell ref="N65:N67"/>
    <mergeCell ref="A56:A58"/>
    <mergeCell ref="J56:J58"/>
    <mergeCell ref="K56:K58"/>
    <mergeCell ref="M56:M58"/>
    <mergeCell ref="N56:N58"/>
    <mergeCell ref="A59:A61"/>
    <mergeCell ref="J59:J61"/>
    <mergeCell ref="K59:K61"/>
    <mergeCell ref="M59:M61"/>
    <mergeCell ref="N59:N61"/>
    <mergeCell ref="A50:A52"/>
    <mergeCell ref="J50:J52"/>
    <mergeCell ref="K50:K52"/>
    <mergeCell ref="M50:M52"/>
    <mergeCell ref="N50:N52"/>
    <mergeCell ref="A53:A55"/>
    <mergeCell ref="J53:J55"/>
    <mergeCell ref="K53:K55"/>
    <mergeCell ref="M53:M55"/>
    <mergeCell ref="N53:N55"/>
    <mergeCell ref="A44:A46"/>
    <mergeCell ref="J44:J46"/>
    <mergeCell ref="K44:K46"/>
    <mergeCell ref="M44:M46"/>
    <mergeCell ref="N44:N46"/>
    <mergeCell ref="A47:A49"/>
    <mergeCell ref="J47:J49"/>
    <mergeCell ref="K47:K49"/>
    <mergeCell ref="M47:M49"/>
    <mergeCell ref="N47:N49"/>
    <mergeCell ref="J42:J43"/>
    <mergeCell ref="K42:K43"/>
    <mergeCell ref="L42:L43"/>
    <mergeCell ref="M42:M43"/>
    <mergeCell ref="N42:N43"/>
    <mergeCell ref="O42:P42"/>
    <mergeCell ref="A41:P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A34:A36"/>
    <mergeCell ref="J34:J36"/>
    <mergeCell ref="K34:K36"/>
    <mergeCell ref="M34:M36"/>
    <mergeCell ref="N34:N36"/>
    <mergeCell ref="A37:A39"/>
    <mergeCell ref="J37:J39"/>
    <mergeCell ref="K37:K39"/>
    <mergeCell ref="M37:M39"/>
    <mergeCell ref="N37:N39"/>
    <mergeCell ref="A28:A30"/>
    <mergeCell ref="J28:J30"/>
    <mergeCell ref="K28:K30"/>
    <mergeCell ref="M28:M30"/>
    <mergeCell ref="N28:N30"/>
    <mergeCell ref="A31:A33"/>
    <mergeCell ref="J31:J33"/>
    <mergeCell ref="K31:K33"/>
    <mergeCell ref="M31:M33"/>
    <mergeCell ref="N31:N33"/>
    <mergeCell ref="A22:A24"/>
    <mergeCell ref="J22:J24"/>
    <mergeCell ref="K22:K24"/>
    <mergeCell ref="M22:M24"/>
    <mergeCell ref="N22:N24"/>
    <mergeCell ref="A25:A27"/>
    <mergeCell ref="J25:J27"/>
    <mergeCell ref="K25:K27"/>
    <mergeCell ref="M25:M27"/>
    <mergeCell ref="N25:N27"/>
    <mergeCell ref="A16:A18"/>
    <mergeCell ref="J16:J18"/>
    <mergeCell ref="K16:K18"/>
    <mergeCell ref="M16:M18"/>
    <mergeCell ref="N16:N18"/>
    <mergeCell ref="A19:A21"/>
    <mergeCell ref="J19:J21"/>
    <mergeCell ref="K19:K21"/>
    <mergeCell ref="M19:M21"/>
    <mergeCell ref="N19:N21"/>
    <mergeCell ref="A10:A12"/>
    <mergeCell ref="J10:J12"/>
    <mergeCell ref="K10:K12"/>
    <mergeCell ref="M10:M12"/>
    <mergeCell ref="N10:N12"/>
    <mergeCell ref="A13:A15"/>
    <mergeCell ref="J13:J15"/>
    <mergeCell ref="K13:K15"/>
    <mergeCell ref="M13:M15"/>
    <mergeCell ref="N13:N15"/>
    <mergeCell ref="A4:A6"/>
    <mergeCell ref="J4:J6"/>
    <mergeCell ref="K4:K6"/>
    <mergeCell ref="M4:M6"/>
    <mergeCell ref="N4:N6"/>
    <mergeCell ref="A7:A9"/>
    <mergeCell ref="J7:J9"/>
    <mergeCell ref="K7:K9"/>
    <mergeCell ref="M7:M9"/>
    <mergeCell ref="N7:N9"/>
    <mergeCell ref="J2:J3"/>
    <mergeCell ref="K2:K3"/>
    <mergeCell ref="L2:L3"/>
    <mergeCell ref="M2:M3"/>
    <mergeCell ref="N2:N3"/>
    <mergeCell ref="O2:P2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E1AF-2CA3-4854-8C34-A330D956DDF7}">
  <dimension ref="A1:H56"/>
  <sheetViews>
    <sheetView topLeftCell="A19" workbookViewId="0">
      <selection activeCell="A28" sqref="A28:H56"/>
    </sheetView>
  </sheetViews>
  <sheetFormatPr defaultRowHeight="15" x14ac:dyDescent="0.25"/>
  <cols>
    <col min="3" max="3" width="23.7109375" bestFit="1" customWidth="1"/>
    <col min="4" max="4" width="19.28515625" bestFit="1" customWidth="1"/>
    <col min="5" max="5" width="18.85546875" bestFit="1" customWidth="1"/>
    <col min="8" max="8" width="16.7109375" bestFit="1" customWidth="1"/>
  </cols>
  <sheetData>
    <row r="1" spans="1:8" x14ac:dyDescent="0.25">
      <c r="A1" s="1" t="s">
        <v>67</v>
      </c>
      <c r="B1" s="2"/>
      <c r="C1" s="2"/>
      <c r="D1" s="2"/>
      <c r="E1" s="2"/>
      <c r="F1" s="2"/>
      <c r="G1" s="2"/>
      <c r="H1" s="2"/>
    </row>
    <row r="2" spans="1:8" x14ac:dyDescent="0.25">
      <c r="A2" s="27" t="s">
        <v>68</v>
      </c>
      <c r="B2" s="27" t="s">
        <v>2</v>
      </c>
      <c r="C2" s="27" t="s">
        <v>69</v>
      </c>
      <c r="D2" s="27" t="s">
        <v>70</v>
      </c>
      <c r="E2" s="27" t="s">
        <v>71</v>
      </c>
      <c r="F2" s="27" t="s">
        <v>72</v>
      </c>
      <c r="G2" s="28" t="s">
        <v>11</v>
      </c>
      <c r="H2" s="27" t="s">
        <v>73</v>
      </c>
    </row>
    <row r="3" spans="1:8" x14ac:dyDescent="0.25">
      <c r="A3" s="29" t="s">
        <v>22</v>
      </c>
      <c r="B3" s="30">
        <v>1</v>
      </c>
      <c r="C3" s="30">
        <v>8.3000000000000004E-2</v>
      </c>
      <c r="D3" s="30">
        <v>0.124</v>
      </c>
      <c r="E3" s="31">
        <f>D3/C3</f>
        <v>1.4939759036144578</v>
      </c>
      <c r="F3" s="32">
        <f>AVERAGE(E3:E5)</f>
        <v>1.4939759036144578</v>
      </c>
      <c r="G3" s="32">
        <f>_xlfn.STDEV.S(E3:E5)</f>
        <v>2.4096385542168752E-2</v>
      </c>
      <c r="H3" s="32" t="s">
        <v>74</v>
      </c>
    </row>
    <row r="4" spans="1:8" x14ac:dyDescent="0.25">
      <c r="A4" s="33"/>
      <c r="B4" s="30">
        <v>2</v>
      </c>
      <c r="C4" s="30">
        <v>8.3000000000000004E-2</v>
      </c>
      <c r="D4" s="30">
        <v>0.126</v>
      </c>
      <c r="E4" s="31">
        <f t="shared" ref="E4:E26" si="0">D4/C4</f>
        <v>1.5180722891566265</v>
      </c>
      <c r="F4" s="33"/>
      <c r="G4" s="33"/>
      <c r="H4" s="33"/>
    </row>
    <row r="5" spans="1:8" x14ac:dyDescent="0.25">
      <c r="A5" s="34"/>
      <c r="B5" s="30">
        <v>3</v>
      </c>
      <c r="C5" s="30">
        <v>8.3000000000000004E-2</v>
      </c>
      <c r="D5" s="30">
        <v>0.122</v>
      </c>
      <c r="E5" s="31">
        <f t="shared" si="0"/>
        <v>1.469879518072289</v>
      </c>
      <c r="F5" s="34"/>
      <c r="G5" s="34"/>
      <c r="H5" s="34"/>
    </row>
    <row r="6" spans="1:8" x14ac:dyDescent="0.25">
      <c r="A6" s="29" t="s">
        <v>26</v>
      </c>
      <c r="B6" s="30">
        <v>1</v>
      </c>
      <c r="C6" s="30">
        <v>0.19</v>
      </c>
      <c r="D6" s="30">
        <v>0.31</v>
      </c>
      <c r="E6" s="31">
        <f t="shared" si="0"/>
        <v>1.631578947368421</v>
      </c>
      <c r="F6" s="32">
        <f>AVERAGE(E6:E8)</f>
        <v>1.6315789473684212</v>
      </c>
      <c r="G6" s="32">
        <f>_xlfn.STDEV.S(E6:E8)</f>
        <v>2.6315789473684292E-2</v>
      </c>
      <c r="H6" s="32" t="s">
        <v>74</v>
      </c>
    </row>
    <row r="7" spans="1:8" x14ac:dyDescent="0.25">
      <c r="A7" s="33"/>
      <c r="B7" s="30">
        <v>2</v>
      </c>
      <c r="C7" s="30">
        <v>0.19</v>
      </c>
      <c r="D7" s="30">
        <v>0.315</v>
      </c>
      <c r="E7" s="31">
        <f t="shared" si="0"/>
        <v>1.6578947368421053</v>
      </c>
      <c r="F7" s="33"/>
      <c r="G7" s="33"/>
      <c r="H7" s="33"/>
    </row>
    <row r="8" spans="1:8" x14ac:dyDescent="0.25">
      <c r="A8" s="34"/>
      <c r="B8" s="30">
        <v>3</v>
      </c>
      <c r="C8" s="30">
        <v>0.19</v>
      </c>
      <c r="D8" s="30">
        <v>0.30499999999999999</v>
      </c>
      <c r="E8" s="31">
        <f t="shared" si="0"/>
        <v>1.6052631578947367</v>
      </c>
      <c r="F8" s="34"/>
      <c r="G8" s="34"/>
      <c r="H8" s="34"/>
    </row>
    <row r="9" spans="1:8" x14ac:dyDescent="0.25">
      <c r="A9" s="29" t="s">
        <v>30</v>
      </c>
      <c r="B9" s="30">
        <v>1</v>
      </c>
      <c r="C9" s="30">
        <v>0.21</v>
      </c>
      <c r="D9" s="30">
        <v>0.38</v>
      </c>
      <c r="E9" s="31">
        <f t="shared" si="0"/>
        <v>1.8095238095238095</v>
      </c>
      <c r="F9" s="32">
        <f>AVERAGE(E9:E11)</f>
        <v>1.8095238095238095</v>
      </c>
      <c r="G9" s="32">
        <f>_xlfn.STDEV.S(E9:E11)</f>
        <v>2.3809523809523836E-2</v>
      </c>
      <c r="H9" s="32" t="s">
        <v>74</v>
      </c>
    </row>
    <row r="10" spans="1:8" x14ac:dyDescent="0.25">
      <c r="A10" s="33"/>
      <c r="B10" s="30">
        <v>2</v>
      </c>
      <c r="C10" s="30">
        <v>0.21</v>
      </c>
      <c r="D10" s="30">
        <v>0.38500000000000001</v>
      </c>
      <c r="E10" s="31">
        <f t="shared" si="0"/>
        <v>1.8333333333333335</v>
      </c>
      <c r="F10" s="33"/>
      <c r="G10" s="33"/>
      <c r="H10" s="33"/>
    </row>
    <row r="11" spans="1:8" x14ac:dyDescent="0.25">
      <c r="A11" s="34"/>
      <c r="B11" s="30">
        <v>3</v>
      </c>
      <c r="C11" s="30">
        <v>0.21</v>
      </c>
      <c r="D11" s="30">
        <v>0.375</v>
      </c>
      <c r="E11" s="31">
        <f t="shared" si="0"/>
        <v>1.7857142857142858</v>
      </c>
      <c r="F11" s="34"/>
      <c r="G11" s="34"/>
      <c r="H11" s="34"/>
    </row>
    <row r="12" spans="1:8" x14ac:dyDescent="0.25">
      <c r="A12" s="29" t="s">
        <v>42</v>
      </c>
      <c r="B12" s="30">
        <v>1</v>
      </c>
      <c r="C12" s="30">
        <v>0.113</v>
      </c>
      <c r="D12" s="30">
        <v>0.21</v>
      </c>
      <c r="E12" s="31">
        <f t="shared" si="0"/>
        <v>1.8584070796460175</v>
      </c>
      <c r="F12" s="32">
        <f>AVERAGE(E12:E14)</f>
        <v>1.8584070796460175</v>
      </c>
      <c r="G12" s="32">
        <f>_xlfn.STDEV.S(E12:E14)</f>
        <v>1.7699115044247815E-2</v>
      </c>
      <c r="H12" s="32" t="s">
        <v>74</v>
      </c>
    </row>
    <row r="13" spans="1:8" x14ac:dyDescent="0.25">
      <c r="A13" s="33"/>
      <c r="B13" s="30">
        <v>2</v>
      </c>
      <c r="C13" s="30">
        <v>0.113</v>
      </c>
      <c r="D13" s="30">
        <v>0.21199999999999999</v>
      </c>
      <c r="E13" s="31">
        <f t="shared" si="0"/>
        <v>1.8761061946902653</v>
      </c>
      <c r="F13" s="33"/>
      <c r="G13" s="33"/>
      <c r="H13" s="33"/>
    </row>
    <row r="14" spans="1:8" x14ac:dyDescent="0.25">
      <c r="A14" s="34"/>
      <c r="B14" s="30">
        <v>3</v>
      </c>
      <c r="C14" s="30">
        <v>0.113</v>
      </c>
      <c r="D14" s="30">
        <v>0.20799999999999999</v>
      </c>
      <c r="E14" s="31">
        <f t="shared" si="0"/>
        <v>1.8407079646017697</v>
      </c>
      <c r="F14" s="34"/>
      <c r="G14" s="34"/>
      <c r="H14" s="34"/>
    </row>
    <row r="15" spans="1:8" x14ac:dyDescent="0.25">
      <c r="A15" s="29" t="s">
        <v>46</v>
      </c>
      <c r="B15" s="30">
        <v>1</v>
      </c>
      <c r="C15" s="30">
        <v>0.26800000000000002</v>
      </c>
      <c r="D15" s="30">
        <v>0.52</v>
      </c>
      <c r="E15" s="31">
        <f t="shared" si="0"/>
        <v>1.9402985074626866</v>
      </c>
      <c r="F15" s="32">
        <f>AVERAGE(E15:E17)</f>
        <v>1.9402985074626866</v>
      </c>
      <c r="G15" s="32">
        <f>_xlfn.STDEV.S(E15:E17)</f>
        <v>1.8656716417910446E-2</v>
      </c>
      <c r="H15" s="32" t="s">
        <v>74</v>
      </c>
    </row>
    <row r="16" spans="1:8" x14ac:dyDescent="0.25">
      <c r="A16" s="33"/>
      <c r="B16" s="30">
        <v>2</v>
      </c>
      <c r="C16" s="30">
        <v>0.26800000000000002</v>
      </c>
      <c r="D16" s="30">
        <v>0.52500000000000002</v>
      </c>
      <c r="E16" s="31">
        <f t="shared" si="0"/>
        <v>1.958955223880597</v>
      </c>
      <c r="F16" s="33"/>
      <c r="G16" s="33"/>
      <c r="H16" s="33"/>
    </row>
    <row r="17" spans="1:8" x14ac:dyDescent="0.25">
      <c r="A17" s="34"/>
      <c r="B17" s="30">
        <v>3</v>
      </c>
      <c r="C17" s="30">
        <v>0.26800000000000002</v>
      </c>
      <c r="D17" s="30">
        <v>0.51500000000000001</v>
      </c>
      <c r="E17" s="31">
        <f t="shared" si="0"/>
        <v>1.9216417910447761</v>
      </c>
      <c r="F17" s="34"/>
      <c r="G17" s="34"/>
      <c r="H17" s="34"/>
    </row>
    <row r="18" spans="1:8" x14ac:dyDescent="0.25">
      <c r="A18" s="29" t="s">
        <v>54</v>
      </c>
      <c r="B18" s="30">
        <v>1</v>
      </c>
      <c r="C18" s="30">
        <v>0.14000000000000001</v>
      </c>
      <c r="D18" s="30">
        <v>0.3</v>
      </c>
      <c r="E18" s="31">
        <f t="shared" si="0"/>
        <v>2.1428571428571428</v>
      </c>
      <c r="F18" s="32">
        <f>AVERAGE(E18:E20)</f>
        <v>2.1428571428571428</v>
      </c>
      <c r="G18" s="32">
        <f>_xlfn.STDEV.S(E18:E20)</f>
        <v>1.4285714285714457E-2</v>
      </c>
      <c r="H18" s="32" t="s">
        <v>74</v>
      </c>
    </row>
    <row r="19" spans="1:8" x14ac:dyDescent="0.25">
      <c r="A19" s="33"/>
      <c r="B19" s="30">
        <v>2</v>
      </c>
      <c r="C19" s="30">
        <v>0.14000000000000001</v>
      </c>
      <c r="D19" s="30">
        <v>0.30199999999999999</v>
      </c>
      <c r="E19" s="31">
        <f t="shared" si="0"/>
        <v>2.157142857142857</v>
      </c>
      <c r="F19" s="33"/>
      <c r="G19" s="33"/>
      <c r="H19" s="33"/>
    </row>
    <row r="20" spans="1:8" x14ac:dyDescent="0.25">
      <c r="A20" s="34"/>
      <c r="B20" s="30">
        <v>3</v>
      </c>
      <c r="C20" s="30">
        <v>0.14000000000000001</v>
      </c>
      <c r="D20" s="30">
        <v>0.29799999999999999</v>
      </c>
      <c r="E20" s="31">
        <f t="shared" si="0"/>
        <v>2.1285714285714281</v>
      </c>
      <c r="F20" s="34"/>
      <c r="G20" s="34"/>
      <c r="H20" s="34"/>
    </row>
    <row r="21" spans="1:8" x14ac:dyDescent="0.25">
      <c r="A21" s="29" t="s">
        <v>58</v>
      </c>
      <c r="B21" s="30">
        <v>1</v>
      </c>
      <c r="C21" s="30">
        <v>0.115</v>
      </c>
      <c r="D21" s="30">
        <v>0.27</v>
      </c>
      <c r="E21" s="31">
        <f t="shared" si="0"/>
        <v>2.347826086956522</v>
      </c>
      <c r="F21" s="32">
        <f>AVERAGE(E21:E23)</f>
        <v>2.347826086956522</v>
      </c>
      <c r="G21" s="32">
        <f>_xlfn.STDEV.S(E21:E23)</f>
        <v>4.3478260869565188E-2</v>
      </c>
      <c r="H21" s="32" t="s">
        <v>74</v>
      </c>
    </row>
    <row r="22" spans="1:8" x14ac:dyDescent="0.25">
      <c r="A22" s="33"/>
      <c r="B22" s="30">
        <v>2</v>
      </c>
      <c r="C22" s="30">
        <v>0.115</v>
      </c>
      <c r="D22" s="30">
        <v>0.26500000000000001</v>
      </c>
      <c r="E22" s="31">
        <f t="shared" si="0"/>
        <v>2.3043478260869565</v>
      </c>
      <c r="F22" s="33"/>
      <c r="G22" s="33"/>
      <c r="H22" s="33"/>
    </row>
    <row r="23" spans="1:8" x14ac:dyDescent="0.25">
      <c r="A23" s="34"/>
      <c r="B23" s="30">
        <v>3</v>
      </c>
      <c r="C23" s="30">
        <v>0.115</v>
      </c>
      <c r="D23" s="30">
        <v>0.27500000000000002</v>
      </c>
      <c r="E23" s="31">
        <f t="shared" si="0"/>
        <v>2.3913043478260869</v>
      </c>
      <c r="F23" s="34"/>
      <c r="G23" s="34"/>
      <c r="H23" s="34"/>
    </row>
    <row r="24" spans="1:8" x14ac:dyDescent="0.25">
      <c r="A24" s="29" t="s">
        <v>62</v>
      </c>
      <c r="B24" s="30">
        <v>1</v>
      </c>
      <c r="C24" s="30">
        <v>0.19</v>
      </c>
      <c r="D24" s="30">
        <v>0.48</v>
      </c>
      <c r="E24" s="31">
        <f t="shared" si="0"/>
        <v>2.5263157894736841</v>
      </c>
      <c r="F24" s="32">
        <f>AVERAGE(E24:E26)</f>
        <v>2.5280701754385966</v>
      </c>
      <c r="G24" s="32">
        <f>_xlfn.STDEV.S(E24:E26)</f>
        <v>1.8483603075180197E-2</v>
      </c>
      <c r="H24" s="32" t="s">
        <v>75</v>
      </c>
    </row>
    <row r="25" spans="1:8" x14ac:dyDescent="0.25">
      <c r="A25" s="33"/>
      <c r="B25" s="30">
        <v>2</v>
      </c>
      <c r="C25" s="30">
        <v>0.19</v>
      </c>
      <c r="D25" s="30">
        <v>0.48399999999999999</v>
      </c>
      <c r="E25" s="31">
        <f t="shared" si="0"/>
        <v>2.5473684210526315</v>
      </c>
      <c r="F25" s="33"/>
      <c r="G25" s="33"/>
      <c r="H25" s="33"/>
    </row>
    <row r="26" spans="1:8" x14ac:dyDescent="0.25">
      <c r="A26" s="34"/>
      <c r="B26" s="30">
        <v>3</v>
      </c>
      <c r="C26" s="30">
        <v>0.19</v>
      </c>
      <c r="D26" s="30">
        <v>0.47699999999999998</v>
      </c>
      <c r="E26" s="31">
        <f t="shared" si="0"/>
        <v>2.5105263157894737</v>
      </c>
      <c r="F26" s="34"/>
      <c r="G26" s="34"/>
      <c r="H26" s="34"/>
    </row>
    <row r="28" spans="1:8" x14ac:dyDescent="0.25">
      <c r="A28" s="35" t="s">
        <v>76</v>
      </c>
      <c r="B28" s="36"/>
      <c r="C28" s="36"/>
      <c r="D28" s="36"/>
      <c r="E28" s="36"/>
      <c r="F28" s="36"/>
      <c r="G28" s="36"/>
      <c r="H28" s="37"/>
    </row>
    <row r="29" spans="1:8" x14ac:dyDescent="0.25">
      <c r="A29" s="27" t="s">
        <v>68</v>
      </c>
      <c r="B29" s="27" t="s">
        <v>2</v>
      </c>
      <c r="C29" s="27" t="s">
        <v>69</v>
      </c>
      <c r="D29" s="27" t="s">
        <v>70</v>
      </c>
      <c r="E29" s="27" t="s">
        <v>71</v>
      </c>
      <c r="F29" s="27" t="s">
        <v>72</v>
      </c>
      <c r="G29" s="28" t="s">
        <v>11</v>
      </c>
      <c r="H29" s="27" t="s">
        <v>73</v>
      </c>
    </row>
    <row r="30" spans="1:8" x14ac:dyDescent="0.25">
      <c r="A30" s="3" t="s">
        <v>22</v>
      </c>
      <c r="B30" s="30">
        <v>1</v>
      </c>
      <c r="C30" s="30">
        <v>4.8000000000000001E-2</v>
      </c>
      <c r="D30" s="30">
        <v>6.5000000000000002E-2</v>
      </c>
      <c r="E30" s="31">
        <f>D30/C30</f>
        <v>1.3541666666666667</v>
      </c>
      <c r="F30" s="32">
        <f>AVERAGE(E30:E32)</f>
        <v>1.3541666666666667</v>
      </c>
      <c r="G30" s="32">
        <f>_xlfn.STDEV.S(E30:E32)</f>
        <v>4.1666666666666741E-2</v>
      </c>
      <c r="H30" s="32" t="s">
        <v>77</v>
      </c>
    </row>
    <row r="31" spans="1:8" x14ac:dyDescent="0.25">
      <c r="A31" s="3"/>
      <c r="B31" s="30">
        <v>2</v>
      </c>
      <c r="C31" s="30">
        <v>4.8000000000000001E-2</v>
      </c>
      <c r="D31" s="30">
        <v>6.7000000000000004E-2</v>
      </c>
      <c r="E31" s="31">
        <f t="shared" ref="E31:E56" si="1">D31/C31</f>
        <v>1.3958333333333335</v>
      </c>
      <c r="F31" s="38"/>
      <c r="G31" s="38"/>
      <c r="H31" s="38"/>
    </row>
    <row r="32" spans="1:8" x14ac:dyDescent="0.25">
      <c r="A32" s="3"/>
      <c r="B32" s="30">
        <v>3</v>
      </c>
      <c r="C32" s="30">
        <v>4.8000000000000001E-2</v>
      </c>
      <c r="D32" s="30">
        <v>6.3E-2</v>
      </c>
      <c r="E32" s="31">
        <f t="shared" si="1"/>
        <v>1.3125</v>
      </c>
      <c r="F32" s="39"/>
      <c r="G32" s="39"/>
      <c r="H32" s="39"/>
    </row>
    <row r="33" spans="1:8" x14ac:dyDescent="0.25">
      <c r="A33" s="3" t="s">
        <v>26</v>
      </c>
      <c r="B33" s="30">
        <v>1</v>
      </c>
      <c r="C33" s="30">
        <v>0.105</v>
      </c>
      <c r="D33" s="30">
        <v>0.16</v>
      </c>
      <c r="E33" s="31">
        <f t="shared" si="1"/>
        <v>1.5238095238095239</v>
      </c>
      <c r="F33" s="32">
        <f>AVERAGE(E33:E35)</f>
        <v>1.5238095238095237</v>
      </c>
      <c r="G33" s="32">
        <f>_xlfn.STDEV.S(E33:E35)</f>
        <v>1.9047619047619091E-2</v>
      </c>
      <c r="H33" s="32" t="s">
        <v>77</v>
      </c>
    </row>
    <row r="34" spans="1:8" x14ac:dyDescent="0.25">
      <c r="A34" s="3"/>
      <c r="B34" s="30">
        <v>2</v>
      </c>
      <c r="C34" s="30">
        <v>0.105</v>
      </c>
      <c r="D34" s="30">
        <v>0.16200000000000001</v>
      </c>
      <c r="E34" s="31">
        <f t="shared" si="1"/>
        <v>1.5428571428571429</v>
      </c>
      <c r="F34" s="38"/>
      <c r="G34" s="38"/>
      <c r="H34" s="38"/>
    </row>
    <row r="35" spans="1:8" x14ac:dyDescent="0.25">
      <c r="A35" s="3"/>
      <c r="B35" s="30">
        <v>3</v>
      </c>
      <c r="C35" s="30">
        <v>0.105</v>
      </c>
      <c r="D35" s="30">
        <v>0.158</v>
      </c>
      <c r="E35" s="31">
        <f t="shared" si="1"/>
        <v>1.5047619047619047</v>
      </c>
      <c r="F35" s="39"/>
      <c r="G35" s="39"/>
      <c r="H35" s="39"/>
    </row>
    <row r="36" spans="1:8" x14ac:dyDescent="0.25">
      <c r="A36" s="3" t="s">
        <v>30</v>
      </c>
      <c r="B36" s="30">
        <v>1</v>
      </c>
      <c r="C36" s="30">
        <v>0.15</v>
      </c>
      <c r="D36" s="30">
        <v>0.14199999999999999</v>
      </c>
      <c r="E36" s="31">
        <f t="shared" si="1"/>
        <v>0.94666666666666666</v>
      </c>
      <c r="F36" s="32">
        <f>AVERAGE(E36:E38)</f>
        <v>0.94888888888888889</v>
      </c>
      <c r="G36" s="32">
        <f>_xlfn.STDEV.S(E36:E38)</f>
        <v>1.6777409856157166E-2</v>
      </c>
      <c r="H36" s="32" t="s">
        <v>78</v>
      </c>
    </row>
    <row r="37" spans="1:8" x14ac:dyDescent="0.25">
      <c r="A37" s="3"/>
      <c r="B37" s="30">
        <v>2</v>
      </c>
      <c r="C37" s="30">
        <v>0.15</v>
      </c>
      <c r="D37" s="30">
        <v>0.14499999999999999</v>
      </c>
      <c r="E37" s="31">
        <f t="shared" si="1"/>
        <v>0.96666666666666667</v>
      </c>
      <c r="F37" s="38"/>
      <c r="G37" s="38"/>
      <c r="H37" s="38"/>
    </row>
    <row r="38" spans="1:8" x14ac:dyDescent="0.25">
      <c r="A38" s="3"/>
      <c r="B38" s="30">
        <v>3</v>
      </c>
      <c r="C38" s="30">
        <v>0.15</v>
      </c>
      <c r="D38" s="30">
        <v>0.14000000000000001</v>
      </c>
      <c r="E38" s="31">
        <f t="shared" si="1"/>
        <v>0.93333333333333346</v>
      </c>
      <c r="F38" s="39"/>
      <c r="G38" s="39"/>
      <c r="H38" s="39"/>
    </row>
    <row r="39" spans="1:8" x14ac:dyDescent="0.25">
      <c r="A39" s="3" t="s">
        <v>38</v>
      </c>
      <c r="B39" s="30">
        <v>1</v>
      </c>
      <c r="C39" s="30">
        <v>9.8000000000000004E-2</v>
      </c>
      <c r="D39" s="30">
        <v>0.18</v>
      </c>
      <c r="E39" s="31">
        <f t="shared" si="1"/>
        <v>1.8367346938775508</v>
      </c>
      <c r="F39" s="32">
        <f>AVERAGE(E39:E41)</f>
        <v>1.8367346938775508</v>
      </c>
      <c r="G39" s="32">
        <f>_xlfn.STDEV.S(E39:E41)</f>
        <v>2.0408163265306145E-2</v>
      </c>
      <c r="H39" s="32" t="s">
        <v>77</v>
      </c>
    </row>
    <row r="40" spans="1:8" x14ac:dyDescent="0.25">
      <c r="A40" s="3"/>
      <c r="B40" s="30">
        <v>2</v>
      </c>
      <c r="C40" s="30">
        <v>9.8000000000000004E-2</v>
      </c>
      <c r="D40" s="30">
        <v>0.182</v>
      </c>
      <c r="E40" s="31">
        <f t="shared" si="1"/>
        <v>1.857142857142857</v>
      </c>
      <c r="F40" s="38"/>
      <c r="G40" s="38"/>
      <c r="H40" s="38"/>
    </row>
    <row r="41" spans="1:8" x14ac:dyDescent="0.25">
      <c r="A41" s="3"/>
      <c r="B41" s="30">
        <v>3</v>
      </c>
      <c r="C41" s="30">
        <v>9.8000000000000004E-2</v>
      </c>
      <c r="D41" s="30">
        <v>0.17799999999999999</v>
      </c>
      <c r="E41" s="31">
        <f t="shared" si="1"/>
        <v>1.8163265306122447</v>
      </c>
      <c r="F41" s="39"/>
      <c r="G41" s="39"/>
      <c r="H41" s="39"/>
    </row>
    <row r="42" spans="1:8" x14ac:dyDescent="0.25">
      <c r="A42" s="3" t="s">
        <v>42</v>
      </c>
      <c r="B42" s="30">
        <v>1</v>
      </c>
      <c r="C42" s="30">
        <v>0.12</v>
      </c>
      <c r="D42" s="30">
        <v>0.23</v>
      </c>
      <c r="E42" s="31">
        <f t="shared" si="1"/>
        <v>1.9166666666666667</v>
      </c>
      <c r="F42" s="32">
        <f>AVERAGE(E42:E44)</f>
        <v>1.9166666666666667</v>
      </c>
      <c r="G42" s="32">
        <f>_xlfn.STDEV.S(E42:E44)</f>
        <v>4.1666666666666519E-2</v>
      </c>
      <c r="H42" s="32" t="s">
        <v>77</v>
      </c>
    </row>
    <row r="43" spans="1:8" x14ac:dyDescent="0.25">
      <c r="A43" s="3"/>
      <c r="B43" s="30">
        <v>2</v>
      </c>
      <c r="C43" s="30">
        <v>0.12</v>
      </c>
      <c r="D43" s="30">
        <v>0.23499999999999999</v>
      </c>
      <c r="E43" s="31">
        <f t="shared" si="1"/>
        <v>1.9583333333333333</v>
      </c>
      <c r="F43" s="38"/>
      <c r="G43" s="38"/>
      <c r="H43" s="38"/>
    </row>
    <row r="44" spans="1:8" x14ac:dyDescent="0.25">
      <c r="A44" s="3"/>
      <c r="B44" s="30">
        <v>3</v>
      </c>
      <c r="C44" s="30">
        <v>0.12</v>
      </c>
      <c r="D44" s="30">
        <v>0.22500000000000001</v>
      </c>
      <c r="E44" s="31">
        <f t="shared" si="1"/>
        <v>1.8750000000000002</v>
      </c>
      <c r="F44" s="39"/>
      <c r="G44" s="39"/>
      <c r="H44" s="39"/>
    </row>
    <row r="45" spans="1:8" x14ac:dyDescent="0.25">
      <c r="A45" s="3" t="s">
        <v>46</v>
      </c>
      <c r="B45" s="30">
        <v>1</v>
      </c>
      <c r="C45" s="30">
        <v>0.14000000000000001</v>
      </c>
      <c r="D45" s="30">
        <v>0.28499999999999998</v>
      </c>
      <c r="E45" s="31">
        <f t="shared" si="1"/>
        <v>2.0357142857142851</v>
      </c>
      <c r="F45" s="32">
        <f>AVERAGE(E45:E47)</f>
        <v>2.0357142857142851</v>
      </c>
      <c r="G45" s="32">
        <f>_xlfn.STDEV.S(E45:E47)</f>
        <v>2.1428571428571574E-2</v>
      </c>
      <c r="H45" s="32" t="s">
        <v>77</v>
      </c>
    </row>
    <row r="46" spans="1:8" x14ac:dyDescent="0.25">
      <c r="A46" s="3"/>
      <c r="B46" s="30">
        <v>2</v>
      </c>
      <c r="C46" s="30">
        <v>0.14000000000000001</v>
      </c>
      <c r="D46" s="30">
        <v>0.28799999999999998</v>
      </c>
      <c r="E46" s="31">
        <f t="shared" si="1"/>
        <v>2.0571428571428569</v>
      </c>
      <c r="F46" s="38"/>
      <c r="G46" s="38"/>
      <c r="H46" s="38"/>
    </row>
    <row r="47" spans="1:8" x14ac:dyDescent="0.25">
      <c r="A47" s="3"/>
      <c r="B47" s="30">
        <v>3</v>
      </c>
      <c r="C47" s="30">
        <v>0.14000000000000001</v>
      </c>
      <c r="D47" s="30">
        <v>0.28199999999999997</v>
      </c>
      <c r="E47" s="31">
        <f t="shared" si="1"/>
        <v>2.0142857142857138</v>
      </c>
      <c r="F47" s="39"/>
      <c r="G47" s="39"/>
      <c r="H47" s="39"/>
    </row>
    <row r="48" spans="1:8" x14ac:dyDescent="0.25">
      <c r="A48" s="3" t="s">
        <v>54</v>
      </c>
      <c r="B48" s="30">
        <v>1</v>
      </c>
      <c r="C48" s="30">
        <v>7.2999999999999995E-2</v>
      </c>
      <c r="D48" s="30">
        <v>0.16500000000000001</v>
      </c>
      <c r="E48" s="31">
        <f t="shared" si="1"/>
        <v>2.2602739726027399</v>
      </c>
      <c r="F48" s="32">
        <f>AVERAGE(E48:E50)</f>
        <v>2.2602739726027399</v>
      </c>
      <c r="G48" s="32">
        <f>_xlfn.STDEV.S(E48:E50)</f>
        <v>4.1095890410959068E-2</v>
      </c>
      <c r="H48" s="32" t="s">
        <v>77</v>
      </c>
    </row>
    <row r="49" spans="1:8" x14ac:dyDescent="0.25">
      <c r="A49" s="3"/>
      <c r="B49" s="30">
        <v>2</v>
      </c>
      <c r="C49" s="30">
        <v>7.2999999999999995E-2</v>
      </c>
      <c r="D49" s="30">
        <v>0.16800000000000001</v>
      </c>
      <c r="E49" s="31">
        <f t="shared" si="1"/>
        <v>2.3013698630136989</v>
      </c>
      <c r="F49" s="38"/>
      <c r="G49" s="38"/>
      <c r="H49" s="38"/>
    </row>
    <row r="50" spans="1:8" x14ac:dyDescent="0.25">
      <c r="A50" s="3"/>
      <c r="B50" s="30">
        <v>3</v>
      </c>
      <c r="C50" s="30">
        <v>7.2999999999999995E-2</v>
      </c>
      <c r="D50" s="30">
        <v>0.16200000000000001</v>
      </c>
      <c r="E50" s="31">
        <f t="shared" si="1"/>
        <v>2.2191780821917808</v>
      </c>
      <c r="F50" s="39"/>
      <c r="G50" s="39"/>
      <c r="H50" s="39"/>
    </row>
    <row r="51" spans="1:8" x14ac:dyDescent="0.25">
      <c r="A51" s="3" t="s">
        <v>58</v>
      </c>
      <c r="B51" s="30">
        <v>1</v>
      </c>
      <c r="C51" s="30">
        <v>0.19800000000000001</v>
      </c>
      <c r="D51" s="30">
        <v>0.48</v>
      </c>
      <c r="E51" s="31">
        <f t="shared" si="1"/>
        <v>2.4242424242424239</v>
      </c>
      <c r="F51" s="32">
        <f>AVERAGE(E51:E53)</f>
        <v>2.4242424242424243</v>
      </c>
      <c r="G51" s="32">
        <f>_xlfn.STDEV.S(E51:E53)</f>
        <v>2.5252525252525304E-2</v>
      </c>
      <c r="H51" s="32" t="s">
        <v>77</v>
      </c>
    </row>
    <row r="52" spans="1:8" x14ac:dyDescent="0.25">
      <c r="A52" s="3"/>
      <c r="B52" s="30">
        <v>2</v>
      </c>
      <c r="C52" s="30">
        <v>0.19800000000000001</v>
      </c>
      <c r="D52" s="30">
        <v>0.48499999999999999</v>
      </c>
      <c r="E52" s="31">
        <f t="shared" si="1"/>
        <v>2.4494949494949494</v>
      </c>
      <c r="F52" s="38"/>
      <c r="G52" s="38"/>
      <c r="H52" s="38"/>
    </row>
    <row r="53" spans="1:8" x14ac:dyDescent="0.25">
      <c r="A53" s="3"/>
      <c r="B53" s="30">
        <v>3</v>
      </c>
      <c r="C53" s="30">
        <v>0.19800000000000001</v>
      </c>
      <c r="D53" s="30">
        <v>0.47499999999999998</v>
      </c>
      <c r="E53" s="31">
        <f t="shared" si="1"/>
        <v>2.3989898989898988</v>
      </c>
      <c r="F53" s="39"/>
      <c r="G53" s="39"/>
      <c r="H53" s="39"/>
    </row>
    <row r="54" spans="1:8" x14ac:dyDescent="0.25">
      <c r="A54" s="3" t="s">
        <v>62</v>
      </c>
      <c r="B54" s="30">
        <v>1</v>
      </c>
      <c r="C54" s="30">
        <v>0.108</v>
      </c>
      <c r="D54" s="30">
        <v>0.28000000000000003</v>
      </c>
      <c r="E54" s="31">
        <f t="shared" si="1"/>
        <v>2.592592592592593</v>
      </c>
      <c r="F54" s="32">
        <f>AVERAGE(E54:E56)</f>
        <v>2.592592592592593</v>
      </c>
      <c r="G54" s="32">
        <f>_xlfn.STDEV.S(E54:E56)</f>
        <v>4.6296296296296058E-2</v>
      </c>
      <c r="H54" s="32" t="s">
        <v>79</v>
      </c>
    </row>
    <row r="55" spans="1:8" x14ac:dyDescent="0.25">
      <c r="A55" s="3"/>
      <c r="B55" s="30">
        <v>2</v>
      </c>
      <c r="C55" s="30">
        <v>0.108</v>
      </c>
      <c r="D55" s="30">
        <v>0.28499999999999998</v>
      </c>
      <c r="E55" s="31">
        <f t="shared" si="1"/>
        <v>2.6388888888888888</v>
      </c>
      <c r="F55" s="38"/>
      <c r="G55" s="38"/>
      <c r="H55" s="38"/>
    </row>
    <row r="56" spans="1:8" x14ac:dyDescent="0.25">
      <c r="A56" s="3"/>
      <c r="B56" s="30">
        <v>3</v>
      </c>
      <c r="C56" s="30">
        <v>0.108</v>
      </c>
      <c r="D56" s="30">
        <v>0.27500000000000002</v>
      </c>
      <c r="E56" s="31">
        <f t="shared" si="1"/>
        <v>2.5462962962962967</v>
      </c>
      <c r="F56" s="39"/>
      <c r="G56" s="39"/>
      <c r="H56" s="39"/>
    </row>
  </sheetData>
  <mergeCells count="70">
    <mergeCell ref="A54:A56"/>
    <mergeCell ref="F54:F56"/>
    <mergeCell ref="G54:G56"/>
    <mergeCell ref="H54:H56"/>
    <mergeCell ref="A48:A50"/>
    <mergeCell ref="F48:F50"/>
    <mergeCell ref="G48:G50"/>
    <mergeCell ref="H48:H50"/>
    <mergeCell ref="A51:A53"/>
    <mergeCell ref="F51:F53"/>
    <mergeCell ref="G51:G53"/>
    <mergeCell ref="H51:H53"/>
    <mergeCell ref="A42:A44"/>
    <mergeCell ref="F42:F44"/>
    <mergeCell ref="G42:G44"/>
    <mergeCell ref="H42:H44"/>
    <mergeCell ref="A45:A47"/>
    <mergeCell ref="F45:F47"/>
    <mergeCell ref="G45:G47"/>
    <mergeCell ref="H45:H47"/>
    <mergeCell ref="A36:A38"/>
    <mergeCell ref="F36:F38"/>
    <mergeCell ref="G36:G38"/>
    <mergeCell ref="H36:H38"/>
    <mergeCell ref="A39:A41"/>
    <mergeCell ref="F39:F41"/>
    <mergeCell ref="G39:G41"/>
    <mergeCell ref="H39:H41"/>
    <mergeCell ref="A28:H28"/>
    <mergeCell ref="A30:A32"/>
    <mergeCell ref="F30:F32"/>
    <mergeCell ref="G30:G32"/>
    <mergeCell ref="H30:H32"/>
    <mergeCell ref="A33:A35"/>
    <mergeCell ref="F33:F35"/>
    <mergeCell ref="G33:G35"/>
    <mergeCell ref="H33:H35"/>
    <mergeCell ref="A21:A23"/>
    <mergeCell ref="F21:F23"/>
    <mergeCell ref="G21:G23"/>
    <mergeCell ref="H21:H23"/>
    <mergeCell ref="A24:A26"/>
    <mergeCell ref="F24:F26"/>
    <mergeCell ref="G24:G26"/>
    <mergeCell ref="H24:H26"/>
    <mergeCell ref="A15:A17"/>
    <mergeCell ref="F15:F17"/>
    <mergeCell ref="G15:G17"/>
    <mergeCell ref="H15:H17"/>
    <mergeCell ref="A18:A20"/>
    <mergeCell ref="F18:F20"/>
    <mergeCell ref="G18:G20"/>
    <mergeCell ref="H18:H20"/>
    <mergeCell ref="A9:A11"/>
    <mergeCell ref="F9:F11"/>
    <mergeCell ref="G9:G11"/>
    <mergeCell ref="H9:H11"/>
    <mergeCell ref="A12:A14"/>
    <mergeCell ref="F12:F14"/>
    <mergeCell ref="G12:G14"/>
    <mergeCell ref="H12:H14"/>
    <mergeCell ref="A1:H1"/>
    <mergeCell ref="A3:A5"/>
    <mergeCell ref="F3:F5"/>
    <mergeCell ref="G3:G5"/>
    <mergeCell ref="H3:H5"/>
    <mergeCell ref="A6:A8"/>
    <mergeCell ref="F6:F8"/>
    <mergeCell ref="G6:G8"/>
    <mergeCell ref="H6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4470-EA52-4E30-B821-87ECF8746A0F}">
  <dimension ref="A1:I56"/>
  <sheetViews>
    <sheetView workbookViewId="0">
      <selection activeCell="A28" sqref="A28:I56"/>
    </sheetView>
  </sheetViews>
  <sheetFormatPr defaultRowHeight="15" x14ac:dyDescent="0.25"/>
  <sheetData>
    <row r="1" spans="1:9" x14ac:dyDescent="0.25">
      <c r="A1" s="6" t="s">
        <v>67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40" t="s">
        <v>80</v>
      </c>
      <c r="B2" s="8" t="s">
        <v>81</v>
      </c>
      <c r="C2" s="40" t="s">
        <v>82</v>
      </c>
      <c r="D2" s="40" t="s">
        <v>83</v>
      </c>
      <c r="E2" s="40" t="s">
        <v>84</v>
      </c>
      <c r="F2" s="40" t="s">
        <v>85</v>
      </c>
      <c r="G2" s="40" t="s">
        <v>86</v>
      </c>
      <c r="H2" s="40" t="s">
        <v>87</v>
      </c>
      <c r="I2" s="40" t="s">
        <v>11</v>
      </c>
    </row>
    <row r="3" spans="1:9" x14ac:dyDescent="0.25">
      <c r="A3" s="41" t="s">
        <v>88</v>
      </c>
      <c r="B3" s="20">
        <v>1</v>
      </c>
      <c r="C3" s="20">
        <v>1.73</v>
      </c>
      <c r="D3" s="20">
        <v>7.9000000000000001E-2</v>
      </c>
      <c r="E3" s="20">
        <v>1.76</v>
      </c>
      <c r="F3" s="42">
        <f>E3-C3</f>
        <v>3.0000000000000027E-2</v>
      </c>
      <c r="G3" s="43">
        <f>(D3-F3)/D3</f>
        <v>0.62025316455696167</v>
      </c>
      <c r="H3" s="44">
        <f>AVERAGE(G3:G5)</f>
        <v>0.62422408343646107</v>
      </c>
      <c r="I3" s="45">
        <f>_xlfn.STDEV.S(G3:G5)*100</f>
        <v>0.9565163079282365</v>
      </c>
    </row>
    <row r="4" spans="1:9" x14ac:dyDescent="0.25">
      <c r="A4" s="46"/>
      <c r="B4" s="20">
        <v>2</v>
      </c>
      <c r="C4" s="20">
        <v>1.756</v>
      </c>
      <c r="D4" s="20">
        <v>8.1000000000000003E-2</v>
      </c>
      <c r="E4" s="20">
        <v>1.7869999999999999</v>
      </c>
      <c r="F4" s="20">
        <f>E4-C4</f>
        <v>3.0999999999999917E-2</v>
      </c>
      <c r="G4" s="43">
        <f>(D4-F4)/D4</f>
        <v>0.61728395061728503</v>
      </c>
      <c r="H4" s="44"/>
      <c r="I4" s="45"/>
    </row>
    <row r="5" spans="1:9" x14ac:dyDescent="0.25">
      <c r="A5" s="47"/>
      <c r="B5" s="20">
        <v>3</v>
      </c>
      <c r="C5" s="20">
        <v>1.7290000000000001</v>
      </c>
      <c r="D5" s="20">
        <v>7.3999999999999996E-2</v>
      </c>
      <c r="E5" s="20">
        <v>1.756</v>
      </c>
      <c r="F5" s="20">
        <f>E5-C5</f>
        <v>2.6999999999999913E-2</v>
      </c>
      <c r="G5" s="43">
        <f t="shared" ref="G5:G26" si="0">(D5-F5)/D5</f>
        <v>0.63513513513513631</v>
      </c>
      <c r="H5" s="44"/>
      <c r="I5" s="45"/>
    </row>
    <row r="6" spans="1:9" x14ac:dyDescent="0.25">
      <c r="A6" s="48" t="s">
        <v>89</v>
      </c>
      <c r="B6" s="20">
        <v>1</v>
      </c>
      <c r="C6" s="20">
        <v>1.754</v>
      </c>
      <c r="D6" s="20">
        <v>4.9000000000000002E-2</v>
      </c>
      <c r="E6" s="20">
        <v>1.774</v>
      </c>
      <c r="F6" s="20">
        <f>E6-C6</f>
        <v>2.0000000000000018E-2</v>
      </c>
      <c r="G6" s="43">
        <f t="shared" si="0"/>
        <v>0.59183673469387721</v>
      </c>
      <c r="H6" s="44">
        <f>AVERAGE(G6:G8)</f>
        <v>0.59594671201814098</v>
      </c>
      <c r="I6" s="45">
        <f t="shared" ref="I6" si="1">_xlfn.STDEV.S(G6:G8)*100</f>
        <v>0.71186895435808994</v>
      </c>
    </row>
    <row r="7" spans="1:9" x14ac:dyDescent="0.25">
      <c r="A7" s="49"/>
      <c r="B7" s="20">
        <v>2</v>
      </c>
      <c r="C7" s="20">
        <v>1.732</v>
      </c>
      <c r="D7" s="20">
        <v>4.8000000000000001E-2</v>
      </c>
      <c r="E7" s="20">
        <v>1.7509999999999999</v>
      </c>
      <c r="F7" s="20">
        <f>E7-C7</f>
        <v>1.8999999999999906E-2</v>
      </c>
      <c r="G7" s="43">
        <f>(D7-F7)/D7</f>
        <v>0.60416666666666863</v>
      </c>
      <c r="H7" s="44"/>
      <c r="I7" s="45"/>
    </row>
    <row r="8" spans="1:9" x14ac:dyDescent="0.25">
      <c r="A8" s="50"/>
      <c r="B8" s="20">
        <v>3</v>
      </c>
      <c r="C8" s="20">
        <v>1.645</v>
      </c>
      <c r="D8" s="20">
        <v>4.9000000000000002E-2</v>
      </c>
      <c r="E8" s="20">
        <v>1.665</v>
      </c>
      <c r="F8" s="20">
        <f t="shared" ref="F8:F26" si="2">E8-C8</f>
        <v>2.0000000000000018E-2</v>
      </c>
      <c r="G8" s="43">
        <f t="shared" si="0"/>
        <v>0.59183673469387721</v>
      </c>
      <c r="H8" s="44"/>
      <c r="I8" s="45"/>
    </row>
    <row r="9" spans="1:9" x14ac:dyDescent="0.25">
      <c r="A9" s="48" t="s">
        <v>90</v>
      </c>
      <c r="B9" s="20">
        <v>1</v>
      </c>
      <c r="C9" s="20">
        <v>1.7170000000000001</v>
      </c>
      <c r="D9" s="20">
        <v>0.11799999999999999</v>
      </c>
      <c r="E9" s="20">
        <v>1.79</v>
      </c>
      <c r="F9" s="20">
        <f t="shared" si="2"/>
        <v>7.2999999999999954E-2</v>
      </c>
      <c r="G9" s="43">
        <f t="shared" si="0"/>
        <v>0.3813559322033902</v>
      </c>
      <c r="H9" s="44">
        <f>AVERAGE(G9:G11)</f>
        <v>0.37536794378768495</v>
      </c>
      <c r="I9" s="45">
        <f t="shared" ref="I9" si="3">_xlfn.STDEV.S(G9:G11)*100</f>
        <v>0.58127570703780795</v>
      </c>
    </row>
    <row r="10" spans="1:9" x14ac:dyDescent="0.25">
      <c r="A10" s="49"/>
      <c r="B10" s="20">
        <v>2</v>
      </c>
      <c r="C10" s="20">
        <v>1.756</v>
      </c>
      <c r="D10" s="20">
        <v>0.12</v>
      </c>
      <c r="E10" s="20">
        <v>1.831</v>
      </c>
      <c r="F10" s="20">
        <f t="shared" si="2"/>
        <v>7.4999999999999956E-2</v>
      </c>
      <c r="G10" s="43">
        <f t="shared" si="0"/>
        <v>0.37500000000000033</v>
      </c>
      <c r="H10" s="44"/>
      <c r="I10" s="45"/>
    </row>
    <row r="11" spans="1:9" x14ac:dyDescent="0.25">
      <c r="A11" s="50"/>
      <c r="B11" s="20">
        <v>3</v>
      </c>
      <c r="C11" s="20">
        <v>1.7090000000000001</v>
      </c>
      <c r="D11" s="20">
        <v>0.11899999999999999</v>
      </c>
      <c r="E11" s="20">
        <v>1.784</v>
      </c>
      <c r="F11" s="20">
        <f t="shared" si="2"/>
        <v>7.4999999999999956E-2</v>
      </c>
      <c r="G11" s="43">
        <f t="shared" si="0"/>
        <v>0.36974789915966422</v>
      </c>
      <c r="H11" s="44"/>
      <c r="I11" s="45"/>
    </row>
    <row r="12" spans="1:9" x14ac:dyDescent="0.25">
      <c r="A12" s="48" t="s">
        <v>91</v>
      </c>
      <c r="B12" s="20">
        <v>1</v>
      </c>
      <c r="C12" s="20">
        <v>1.7190000000000001</v>
      </c>
      <c r="D12" s="20">
        <v>0.13800000000000001</v>
      </c>
      <c r="E12" s="20">
        <v>1.7849999999999999</v>
      </c>
      <c r="F12" s="20">
        <f t="shared" si="2"/>
        <v>6.5999999999999837E-2</v>
      </c>
      <c r="G12" s="43">
        <f t="shared" si="0"/>
        <v>0.52173913043478382</v>
      </c>
      <c r="H12" s="44">
        <f>AVERAGE(G12:G14)</f>
        <v>0.52405106970324378</v>
      </c>
      <c r="I12" s="45">
        <f t="shared" ref="I12" si="4">_xlfn.STDEV.S(G12:G14)*100</f>
        <v>0.42761685098226765</v>
      </c>
    </row>
    <row r="13" spans="1:9" x14ac:dyDescent="0.25">
      <c r="A13" s="49"/>
      <c r="B13" s="20">
        <v>2</v>
      </c>
      <c r="C13" s="20">
        <v>1.675</v>
      </c>
      <c r="D13" s="20">
        <v>0.13800000000000001</v>
      </c>
      <c r="E13" s="20">
        <v>1.74</v>
      </c>
      <c r="F13" s="20">
        <f t="shared" si="2"/>
        <v>6.4999999999999947E-2</v>
      </c>
      <c r="G13" s="43">
        <f t="shared" si="0"/>
        <v>0.52898550724637727</v>
      </c>
      <c r="H13" s="44"/>
      <c r="I13" s="45"/>
    </row>
    <row r="14" spans="1:9" x14ac:dyDescent="0.25">
      <c r="A14" s="50"/>
      <c r="B14" s="20">
        <v>3</v>
      </c>
      <c r="C14" s="20">
        <v>1.6539999999999999</v>
      </c>
      <c r="D14" s="20">
        <v>0.14000000000000001</v>
      </c>
      <c r="E14" s="20">
        <v>1.7210000000000001</v>
      </c>
      <c r="F14" s="20">
        <f>E14-C14</f>
        <v>6.7000000000000171E-2</v>
      </c>
      <c r="G14" s="43">
        <f t="shared" si="0"/>
        <v>0.52142857142857024</v>
      </c>
      <c r="H14" s="44"/>
      <c r="I14" s="45"/>
    </row>
    <row r="15" spans="1:9" x14ac:dyDescent="0.25">
      <c r="A15" s="48" t="s">
        <v>92</v>
      </c>
      <c r="B15" s="20">
        <v>1</v>
      </c>
      <c r="C15" s="20">
        <v>1.714</v>
      </c>
      <c r="D15" s="20">
        <v>0.128</v>
      </c>
      <c r="E15" s="20">
        <v>1.7989999999999999</v>
      </c>
      <c r="F15" s="20">
        <f t="shared" si="2"/>
        <v>8.4999999999999964E-2</v>
      </c>
      <c r="G15" s="43">
        <f t="shared" si="0"/>
        <v>0.33593750000000028</v>
      </c>
      <c r="H15" s="44">
        <f>AVERAGE(G15:G17)</f>
        <v>0.33420138888888862</v>
      </c>
      <c r="I15" s="45">
        <f t="shared" ref="I15" si="5">_xlfn.STDEV.S(G15:G17)*100</f>
        <v>0.15035163260151418</v>
      </c>
    </row>
    <row r="16" spans="1:9" x14ac:dyDescent="0.25">
      <c r="A16" s="49"/>
      <c r="B16" s="20">
        <v>2</v>
      </c>
      <c r="C16" s="20">
        <v>1.6539999999999999</v>
      </c>
      <c r="D16" s="20">
        <v>0.129</v>
      </c>
      <c r="E16" s="20">
        <v>1.74</v>
      </c>
      <c r="F16" s="20">
        <f t="shared" si="2"/>
        <v>8.6000000000000076E-2</v>
      </c>
      <c r="G16" s="51">
        <f t="shared" si="0"/>
        <v>0.33333333333333276</v>
      </c>
      <c r="H16" s="44"/>
      <c r="I16" s="45"/>
    </row>
    <row r="17" spans="1:9" x14ac:dyDescent="0.25">
      <c r="A17" s="50"/>
      <c r="B17" s="20">
        <v>3</v>
      </c>
      <c r="C17" s="20">
        <v>1.732</v>
      </c>
      <c r="D17" s="20">
        <v>0.126</v>
      </c>
      <c r="E17" s="20">
        <v>1.8160000000000001</v>
      </c>
      <c r="F17" s="20">
        <f t="shared" si="2"/>
        <v>8.4000000000000075E-2</v>
      </c>
      <c r="G17" s="51">
        <f t="shared" si="0"/>
        <v>0.33333333333333276</v>
      </c>
      <c r="H17" s="44"/>
      <c r="I17" s="45"/>
    </row>
    <row r="18" spans="1:9" x14ac:dyDescent="0.25">
      <c r="A18" s="48" t="s">
        <v>93</v>
      </c>
      <c r="B18" s="20">
        <v>1</v>
      </c>
      <c r="C18" s="20">
        <v>1.778</v>
      </c>
      <c r="D18" s="20">
        <v>0.30499999999999999</v>
      </c>
      <c r="E18" s="20">
        <v>1.96</v>
      </c>
      <c r="F18" s="20">
        <f t="shared" si="2"/>
        <v>0.18199999999999994</v>
      </c>
      <c r="G18" s="51">
        <f t="shared" si="0"/>
        <v>0.40327868852459037</v>
      </c>
      <c r="H18" s="44">
        <f>AVERAGE(G18:G20)</f>
        <v>0.40129893002328115</v>
      </c>
      <c r="I18" s="45">
        <f t="shared" ref="I18" si="6">_xlfn.STDEV.S(G18:G20)*100</f>
        <v>0.71833290740085876</v>
      </c>
    </row>
    <row r="19" spans="1:9" x14ac:dyDescent="0.25">
      <c r="A19" s="49"/>
      <c r="B19" s="20">
        <v>2</v>
      </c>
      <c r="C19" s="20">
        <v>1.7649999999999999</v>
      </c>
      <c r="D19" s="20">
        <v>0.3</v>
      </c>
      <c r="E19" s="20">
        <v>1.9470000000000001</v>
      </c>
      <c r="F19" s="20">
        <f t="shared" si="2"/>
        <v>0.18200000000000016</v>
      </c>
      <c r="G19" s="51">
        <f t="shared" si="0"/>
        <v>0.39333333333333276</v>
      </c>
      <c r="H19" s="44"/>
      <c r="I19" s="45"/>
    </row>
    <row r="20" spans="1:9" x14ac:dyDescent="0.25">
      <c r="A20" s="50"/>
      <c r="B20" s="20">
        <v>3</v>
      </c>
      <c r="C20" s="20">
        <v>1.7889999999999999</v>
      </c>
      <c r="D20" s="20">
        <v>0.30199999999999999</v>
      </c>
      <c r="E20" s="20">
        <v>1.968</v>
      </c>
      <c r="F20" s="20">
        <f t="shared" si="2"/>
        <v>0.17900000000000005</v>
      </c>
      <c r="G20" s="51">
        <f t="shared" si="0"/>
        <v>0.40728476821192033</v>
      </c>
      <c r="H20" s="44"/>
      <c r="I20" s="45"/>
    </row>
    <row r="21" spans="1:9" x14ac:dyDescent="0.25">
      <c r="A21" s="48" t="s">
        <v>94</v>
      </c>
      <c r="B21" s="20">
        <v>1</v>
      </c>
      <c r="C21" s="20">
        <v>1.704</v>
      </c>
      <c r="D21" s="20">
        <v>0.2</v>
      </c>
      <c r="E21" s="20">
        <v>1.835</v>
      </c>
      <c r="F21" s="20">
        <f t="shared" si="2"/>
        <v>0.13100000000000001</v>
      </c>
      <c r="G21" s="51">
        <f t="shared" si="0"/>
        <v>0.34500000000000003</v>
      </c>
      <c r="H21" s="44">
        <f>AVERAGE(G21:G23)</f>
        <v>0.34110281923714741</v>
      </c>
      <c r="I21" s="45">
        <f t="shared" ref="I21" si="7">_xlfn.STDEV.S(G21:G23)*100</f>
        <v>0.34794169414221032</v>
      </c>
    </row>
    <row r="22" spans="1:9" x14ac:dyDescent="0.25">
      <c r="A22" s="49"/>
      <c r="B22" s="20">
        <v>2</v>
      </c>
      <c r="C22" s="20">
        <v>1.7030000000000001</v>
      </c>
      <c r="D22" s="20">
        <v>0.20100000000000001</v>
      </c>
      <c r="E22" s="20">
        <v>1.8360000000000001</v>
      </c>
      <c r="F22" s="20">
        <f t="shared" si="2"/>
        <v>0.13300000000000001</v>
      </c>
      <c r="G22" s="51">
        <f t="shared" si="0"/>
        <v>0.3383084577114428</v>
      </c>
      <c r="H22" s="44"/>
      <c r="I22" s="45"/>
    </row>
    <row r="23" spans="1:9" x14ac:dyDescent="0.25">
      <c r="A23" s="50"/>
      <c r="B23" s="20">
        <v>3</v>
      </c>
      <c r="C23" s="20">
        <v>1.7669999999999999</v>
      </c>
      <c r="D23" s="20">
        <v>0.2</v>
      </c>
      <c r="E23" s="20">
        <v>1.899</v>
      </c>
      <c r="F23" s="20">
        <f t="shared" si="2"/>
        <v>0.13200000000000012</v>
      </c>
      <c r="G23" s="51">
        <f t="shared" si="0"/>
        <v>0.33999999999999947</v>
      </c>
      <c r="H23" s="44"/>
      <c r="I23" s="45"/>
    </row>
    <row r="24" spans="1:9" x14ac:dyDescent="0.25">
      <c r="A24" s="48" t="s">
        <v>95</v>
      </c>
      <c r="B24" s="20">
        <v>1</v>
      </c>
      <c r="C24" s="20">
        <v>1.7330000000000001</v>
      </c>
      <c r="D24" s="20">
        <v>0.192</v>
      </c>
      <c r="E24" s="20">
        <v>1.8640000000000001</v>
      </c>
      <c r="F24" s="20">
        <f t="shared" si="2"/>
        <v>0.13100000000000001</v>
      </c>
      <c r="G24" s="51">
        <f t="shared" si="0"/>
        <v>0.31770833333333331</v>
      </c>
      <c r="H24" s="44">
        <f>AVERAGE(G24:G26)</f>
        <v>0.31706871345029258</v>
      </c>
      <c r="I24" s="45">
        <f>_xlfn.STDEV.S(G24:G26)*100</f>
        <v>0.11078541349578104</v>
      </c>
    </row>
    <row r="25" spans="1:9" x14ac:dyDescent="0.25">
      <c r="A25" s="49"/>
      <c r="B25" s="20">
        <v>2</v>
      </c>
      <c r="C25" s="20">
        <v>1.7410000000000001</v>
      </c>
      <c r="D25" s="20">
        <v>0.192</v>
      </c>
      <c r="E25" s="20">
        <v>1.8720000000000001</v>
      </c>
      <c r="F25" s="20">
        <f t="shared" si="2"/>
        <v>0.13100000000000001</v>
      </c>
      <c r="G25" s="51">
        <f t="shared" si="0"/>
        <v>0.31770833333333331</v>
      </c>
      <c r="H25" s="44"/>
      <c r="I25" s="45"/>
    </row>
    <row r="26" spans="1:9" x14ac:dyDescent="0.25">
      <c r="A26" s="50"/>
      <c r="B26" s="20">
        <v>3</v>
      </c>
      <c r="C26" s="20">
        <v>1.6890000000000001</v>
      </c>
      <c r="D26" s="20">
        <v>0.19</v>
      </c>
      <c r="E26" s="20">
        <v>1.819</v>
      </c>
      <c r="F26" s="20">
        <f t="shared" si="2"/>
        <v>0.12999999999999989</v>
      </c>
      <c r="G26" s="51">
        <f t="shared" si="0"/>
        <v>0.31578947368421112</v>
      </c>
      <c r="H26" s="44"/>
      <c r="I26" s="45"/>
    </row>
    <row r="28" spans="1:9" x14ac:dyDescent="0.25">
      <c r="A28" s="6" t="s">
        <v>96</v>
      </c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0" t="s">
        <v>80</v>
      </c>
      <c r="B29" s="8" t="s">
        <v>81</v>
      </c>
      <c r="C29" s="40" t="s">
        <v>82</v>
      </c>
      <c r="D29" s="40" t="s">
        <v>83</v>
      </c>
      <c r="E29" s="40" t="s">
        <v>84</v>
      </c>
      <c r="F29" s="40" t="s">
        <v>85</v>
      </c>
      <c r="G29" s="40" t="s">
        <v>86</v>
      </c>
      <c r="H29" s="40" t="s">
        <v>87</v>
      </c>
      <c r="I29" s="40" t="s">
        <v>11</v>
      </c>
    </row>
    <row r="30" spans="1:9" x14ac:dyDescent="0.25">
      <c r="A30" s="29" t="s">
        <v>88</v>
      </c>
      <c r="B30" s="20">
        <v>1</v>
      </c>
      <c r="C30" s="20">
        <v>2.0379999999999998</v>
      </c>
      <c r="D30" s="20">
        <v>0.106</v>
      </c>
      <c r="E30" s="20">
        <v>2.0710000000000002</v>
      </c>
      <c r="F30" s="42">
        <f>E30-C30</f>
        <v>3.3000000000000362E-2</v>
      </c>
      <c r="G30" s="43">
        <f>(D30-F30)/D30</f>
        <v>0.6886792452830155</v>
      </c>
      <c r="H30" s="44">
        <f>AVERAGE(G30:G32)</f>
        <v>0.68653382707341348</v>
      </c>
      <c r="I30" s="45">
        <f>_xlfn.STDEV.S(G30:G32)*100</f>
        <v>0.37159733425176977</v>
      </c>
    </row>
    <row r="31" spans="1:9" x14ac:dyDescent="0.25">
      <c r="A31" s="33"/>
      <c r="B31" s="20">
        <v>2</v>
      </c>
      <c r="C31">
        <v>1.7889999999999999</v>
      </c>
      <c r="D31">
        <v>0.107</v>
      </c>
      <c r="E31" s="20">
        <v>1.823</v>
      </c>
      <c r="F31" s="42">
        <f t="shared" ref="F31:F56" si="8">E31-C31</f>
        <v>3.400000000000003E-2</v>
      </c>
      <c r="G31" s="43">
        <f>(D31-F31)/D31</f>
        <v>0.68224299065420535</v>
      </c>
      <c r="H31" s="44"/>
      <c r="I31" s="45"/>
    </row>
    <row r="32" spans="1:9" x14ac:dyDescent="0.25">
      <c r="A32" s="34"/>
      <c r="B32" s="20">
        <v>3</v>
      </c>
      <c r="C32">
        <v>2.073</v>
      </c>
      <c r="D32">
        <v>0.106</v>
      </c>
      <c r="E32" s="20">
        <v>2.1059999999999999</v>
      </c>
      <c r="F32" s="42">
        <f t="shared" si="8"/>
        <v>3.2999999999999918E-2</v>
      </c>
      <c r="G32" s="43">
        <f t="shared" ref="G32:G56" si="9">(D32-F32)/D32</f>
        <v>0.6886792452830196</v>
      </c>
      <c r="H32" s="44"/>
      <c r="I32" s="45"/>
    </row>
    <row r="33" spans="1:9" x14ac:dyDescent="0.25">
      <c r="A33" s="52" t="s">
        <v>89</v>
      </c>
      <c r="B33" s="20">
        <v>1</v>
      </c>
      <c r="C33" s="20">
        <v>1.71</v>
      </c>
      <c r="D33" s="20">
        <v>5.7000000000000002E-2</v>
      </c>
      <c r="E33" s="20">
        <v>1.734</v>
      </c>
      <c r="F33" s="42">
        <f t="shared" si="8"/>
        <v>2.4000000000000021E-2</v>
      </c>
      <c r="G33" s="43">
        <f t="shared" si="9"/>
        <v>0.57894736842105232</v>
      </c>
      <c r="H33" s="44">
        <f>AVERAGE(G33:G35)</f>
        <v>0.57399565324550161</v>
      </c>
      <c r="I33" s="45">
        <f t="shared" ref="I33" si="10">_xlfn.STDEV.S(G33:G35)*100</f>
        <v>0.49913876440366944</v>
      </c>
    </row>
    <row r="34" spans="1:9" x14ac:dyDescent="0.25">
      <c r="A34" s="53"/>
      <c r="B34" s="20">
        <v>2</v>
      </c>
      <c r="C34" s="54">
        <v>2.0339999999999998</v>
      </c>
      <c r="D34" s="55">
        <v>5.3999999999999999E-2</v>
      </c>
      <c r="E34" s="56">
        <v>2.0569999999999999</v>
      </c>
      <c r="F34" s="42">
        <f t="shared" si="8"/>
        <v>2.3000000000000131E-2</v>
      </c>
      <c r="G34" s="43">
        <f t="shared" si="9"/>
        <v>0.57407407407407163</v>
      </c>
      <c r="H34" s="44"/>
      <c r="I34" s="45"/>
    </row>
    <row r="35" spans="1:9" x14ac:dyDescent="0.25">
      <c r="A35" s="57"/>
      <c r="B35" s="20">
        <v>3</v>
      </c>
      <c r="C35" s="54">
        <v>2.0529999999999999</v>
      </c>
      <c r="D35" s="55">
        <v>5.8000000000000003E-2</v>
      </c>
      <c r="E35" s="56">
        <v>2.0779999999999998</v>
      </c>
      <c r="F35" s="42">
        <f t="shared" si="8"/>
        <v>2.4999999999999911E-2</v>
      </c>
      <c r="G35" s="43">
        <f t="shared" si="9"/>
        <v>0.56896551724138089</v>
      </c>
      <c r="H35" s="44"/>
      <c r="I35" s="45"/>
    </row>
    <row r="36" spans="1:9" x14ac:dyDescent="0.25">
      <c r="A36" s="52" t="s">
        <v>90</v>
      </c>
      <c r="B36" s="20">
        <v>1</v>
      </c>
      <c r="C36" s="20">
        <v>2.0259999999999998</v>
      </c>
      <c r="D36" s="20">
        <v>7.5999999999999998E-2</v>
      </c>
      <c r="E36" s="20">
        <v>2.0619999999999998</v>
      </c>
      <c r="F36" s="42">
        <f t="shared" si="8"/>
        <v>3.6000000000000032E-2</v>
      </c>
      <c r="G36" s="43">
        <f t="shared" si="9"/>
        <v>0.52631578947368374</v>
      </c>
      <c r="H36" s="44">
        <f>AVERAGE(G36:G38)</f>
        <v>0.53332953184695209</v>
      </c>
      <c r="I36" s="45">
        <f t="shared" ref="I36" si="11">_xlfn.STDEV.S(G36:G38)*100</f>
        <v>0.62877262757000163</v>
      </c>
    </row>
    <row r="37" spans="1:9" x14ac:dyDescent="0.25">
      <c r="A37" s="53"/>
      <c r="B37" s="20">
        <v>2</v>
      </c>
      <c r="C37" s="54">
        <v>1.7869999999999999</v>
      </c>
      <c r="D37" s="55">
        <v>7.0999999999999994E-2</v>
      </c>
      <c r="E37" s="56">
        <v>1.82</v>
      </c>
      <c r="F37" s="42">
        <f t="shared" si="8"/>
        <v>3.300000000000014E-2</v>
      </c>
      <c r="G37" s="43">
        <f t="shared" si="9"/>
        <v>0.53521126760563176</v>
      </c>
      <c r="H37" s="44"/>
      <c r="I37" s="45"/>
    </row>
    <row r="38" spans="1:9" x14ac:dyDescent="0.25">
      <c r="A38" s="57"/>
      <c r="B38" s="20">
        <v>3</v>
      </c>
      <c r="C38" s="54">
        <v>1.7410000000000001</v>
      </c>
      <c r="D38" s="55">
        <v>7.8E-2</v>
      </c>
      <c r="E38" s="56">
        <v>1.7769999999999999</v>
      </c>
      <c r="F38" s="42">
        <f t="shared" si="8"/>
        <v>3.599999999999981E-2</v>
      </c>
      <c r="G38" s="43">
        <f t="shared" si="9"/>
        <v>0.53846153846154088</v>
      </c>
      <c r="H38" s="44"/>
      <c r="I38" s="45"/>
    </row>
    <row r="39" spans="1:9" x14ac:dyDescent="0.25">
      <c r="A39" s="58" t="s">
        <v>97</v>
      </c>
      <c r="B39" s="56">
        <v>1</v>
      </c>
      <c r="C39" s="20">
        <v>1.7390000000000001</v>
      </c>
      <c r="D39" s="20">
        <v>0.16900000000000001</v>
      </c>
      <c r="E39" s="20">
        <v>1.7989999999999999</v>
      </c>
      <c r="F39" s="42">
        <f t="shared" si="8"/>
        <v>5.9999999999999831E-2</v>
      </c>
      <c r="G39" s="43">
        <f t="shared" si="9"/>
        <v>0.64497041420118451</v>
      </c>
      <c r="H39" s="44">
        <f>AVERAGE(G39:G41)</f>
        <v>0.64762733495765257</v>
      </c>
      <c r="I39" s="45">
        <f t="shared" ref="I39" si="12">_xlfn.STDEV.S(G39:G41)*100</f>
        <v>0.46019217418881092</v>
      </c>
    </row>
    <row r="40" spans="1:9" x14ac:dyDescent="0.25">
      <c r="A40" s="59"/>
      <c r="B40" s="56">
        <v>2</v>
      </c>
      <c r="C40" s="54">
        <v>2.4350000000000001</v>
      </c>
      <c r="D40" s="55">
        <v>0.16900000000000001</v>
      </c>
      <c r="E40" s="56">
        <v>2.4950000000000001</v>
      </c>
      <c r="F40" s="42">
        <f t="shared" si="8"/>
        <v>6.0000000000000053E-2</v>
      </c>
      <c r="G40" s="43">
        <f t="shared" si="9"/>
        <v>0.64497041420118317</v>
      </c>
      <c r="H40" s="44"/>
      <c r="I40" s="45"/>
    </row>
    <row r="41" spans="1:9" x14ac:dyDescent="0.25">
      <c r="A41" s="60"/>
      <c r="B41" s="56">
        <v>3</v>
      </c>
      <c r="C41" s="54">
        <v>2.3780000000000001</v>
      </c>
      <c r="D41" s="55">
        <v>0.17</v>
      </c>
      <c r="E41" s="56">
        <v>2.4369999999999998</v>
      </c>
      <c r="F41" s="42">
        <f t="shared" si="8"/>
        <v>5.8999999999999719E-2</v>
      </c>
      <c r="G41" s="43">
        <f t="shared" si="9"/>
        <v>0.65294117647058991</v>
      </c>
      <c r="H41" s="44"/>
      <c r="I41" s="45"/>
    </row>
    <row r="42" spans="1:9" x14ac:dyDescent="0.25">
      <c r="A42" s="52" t="s">
        <v>91</v>
      </c>
      <c r="B42" s="20">
        <v>1</v>
      </c>
      <c r="C42" s="20">
        <v>1.724</v>
      </c>
      <c r="D42" s="20">
        <v>0.08</v>
      </c>
      <c r="E42" s="20">
        <v>1.7589999999999999</v>
      </c>
      <c r="F42" s="42">
        <f t="shared" si="8"/>
        <v>3.499999999999992E-2</v>
      </c>
      <c r="G42" s="43">
        <f t="shared" si="9"/>
        <v>0.562500000000001</v>
      </c>
      <c r="H42" s="44">
        <f>AVERAGE(G42:G44)</f>
        <v>0.55375514403292148</v>
      </c>
      <c r="I42" s="45">
        <f t="shared" ref="I42" si="13">_xlfn.STDEV.S(G42:G44)*100</f>
        <v>0.97702777331405699</v>
      </c>
    </row>
    <row r="43" spans="1:9" x14ac:dyDescent="0.25">
      <c r="A43" s="53"/>
      <c r="B43" s="20">
        <v>2</v>
      </c>
      <c r="C43" s="54">
        <v>2.0419999999999998</v>
      </c>
      <c r="D43" s="55">
        <v>8.1000000000000003E-2</v>
      </c>
      <c r="E43" s="56">
        <v>2.0779999999999998</v>
      </c>
      <c r="F43" s="42">
        <f t="shared" si="8"/>
        <v>3.6000000000000032E-2</v>
      </c>
      <c r="G43" s="43">
        <f t="shared" si="9"/>
        <v>0.55555555555555514</v>
      </c>
      <c r="H43" s="44"/>
      <c r="I43" s="45"/>
    </row>
    <row r="44" spans="1:9" x14ac:dyDescent="0.25">
      <c r="A44" s="57"/>
      <c r="B44" s="20">
        <v>3</v>
      </c>
      <c r="C44" s="54">
        <v>1.7909999999999999</v>
      </c>
      <c r="D44" s="55">
        <v>8.1000000000000003E-2</v>
      </c>
      <c r="E44">
        <v>1.8280000000000001</v>
      </c>
      <c r="F44" s="42">
        <f t="shared" si="8"/>
        <v>3.7000000000000144E-2</v>
      </c>
      <c r="G44" s="43">
        <f t="shared" si="9"/>
        <v>0.54320987654320807</v>
      </c>
      <c r="H44" s="44"/>
      <c r="I44" s="45"/>
    </row>
    <row r="45" spans="1:9" x14ac:dyDescent="0.25">
      <c r="A45" s="52" t="s">
        <v>92</v>
      </c>
      <c r="B45" s="20">
        <v>1</v>
      </c>
      <c r="C45" s="20">
        <v>1.7310000000000001</v>
      </c>
      <c r="D45" s="20">
        <v>7.3999999999999996E-2</v>
      </c>
      <c r="E45" s="20">
        <v>1.7669999999999999</v>
      </c>
      <c r="F45" s="42">
        <f t="shared" si="8"/>
        <v>3.599999999999981E-2</v>
      </c>
      <c r="G45" s="43">
        <f t="shared" si="9"/>
        <v>0.51351351351351604</v>
      </c>
      <c r="H45" s="61">
        <f>AVERAGE(G45:G47)</f>
        <v>0.52182344287607541</v>
      </c>
      <c r="I45" s="45">
        <f t="shared" ref="I45" si="14">_xlfn.STDEV.S(G45:G47)*100</f>
        <v>0.72045139367976208</v>
      </c>
    </row>
    <row r="46" spans="1:9" x14ac:dyDescent="0.25">
      <c r="A46" s="53"/>
      <c r="B46" s="20">
        <v>2</v>
      </c>
      <c r="C46" s="54">
        <v>1.734</v>
      </c>
      <c r="D46" s="55">
        <v>7.8E-2</v>
      </c>
      <c r="E46" s="56">
        <v>1.7709999999999999</v>
      </c>
      <c r="F46" s="42">
        <f t="shared" si="8"/>
        <v>3.6999999999999922E-2</v>
      </c>
      <c r="G46" s="43">
        <f t="shared" si="9"/>
        <v>0.52564102564102666</v>
      </c>
      <c r="H46" s="62"/>
      <c r="I46" s="45"/>
    </row>
    <row r="47" spans="1:9" x14ac:dyDescent="0.25">
      <c r="A47" s="57"/>
      <c r="B47" s="20">
        <v>3</v>
      </c>
      <c r="C47" s="54">
        <v>2.0430000000000001</v>
      </c>
      <c r="D47" s="55">
        <v>7.5999999999999998E-2</v>
      </c>
      <c r="E47" s="56">
        <v>2.0790000000000002</v>
      </c>
      <c r="F47" s="42">
        <f t="shared" si="8"/>
        <v>3.6000000000000032E-2</v>
      </c>
      <c r="G47" s="43">
        <f t="shared" si="9"/>
        <v>0.52631578947368374</v>
      </c>
      <c r="H47" s="63"/>
      <c r="I47" s="45"/>
    </row>
    <row r="48" spans="1:9" x14ac:dyDescent="0.25">
      <c r="A48" s="52" t="s">
        <v>93</v>
      </c>
      <c r="B48" s="20">
        <v>1</v>
      </c>
      <c r="C48" s="20">
        <v>1.7290000000000001</v>
      </c>
      <c r="D48" s="20">
        <v>0.188</v>
      </c>
      <c r="E48" s="20">
        <v>1.792</v>
      </c>
      <c r="F48" s="42">
        <f t="shared" si="8"/>
        <v>6.2999999999999945E-2</v>
      </c>
      <c r="G48" s="43">
        <f t="shared" si="9"/>
        <v>0.66489361702127692</v>
      </c>
      <c r="H48" s="61">
        <f>AVERAGE(G48:G50)</f>
        <v>0.66429627944020975</v>
      </c>
      <c r="I48" s="45">
        <f t="shared" ref="I48" si="15">_xlfn.STDEV.S(G48:G50)*100</f>
        <v>0.10346190396787597</v>
      </c>
    </row>
    <row r="49" spans="1:9" x14ac:dyDescent="0.25">
      <c r="A49" s="53"/>
      <c r="B49" s="20">
        <v>2</v>
      </c>
      <c r="C49" s="54">
        <v>1.734</v>
      </c>
      <c r="D49" s="55">
        <v>0.187</v>
      </c>
      <c r="E49" s="56">
        <v>1.7969999999999999</v>
      </c>
      <c r="F49" s="42">
        <f t="shared" si="8"/>
        <v>6.2999999999999945E-2</v>
      </c>
      <c r="G49" s="43">
        <f t="shared" si="9"/>
        <v>0.66310160427807519</v>
      </c>
      <c r="H49" s="62"/>
      <c r="I49" s="45"/>
    </row>
    <row r="50" spans="1:9" x14ac:dyDescent="0.25">
      <c r="A50" s="57"/>
      <c r="B50" s="20">
        <v>3</v>
      </c>
      <c r="C50" s="54">
        <v>1.798</v>
      </c>
      <c r="D50" s="55">
        <v>0.188</v>
      </c>
      <c r="E50" s="56">
        <v>1.861</v>
      </c>
      <c r="F50" s="42">
        <f t="shared" si="8"/>
        <v>6.2999999999999945E-2</v>
      </c>
      <c r="G50" s="43">
        <f t="shared" si="9"/>
        <v>0.66489361702127692</v>
      </c>
      <c r="H50" s="63"/>
      <c r="I50" s="45"/>
    </row>
    <row r="51" spans="1:9" x14ac:dyDescent="0.25">
      <c r="A51" s="52" t="s">
        <v>94</v>
      </c>
      <c r="B51" s="20">
        <v>1</v>
      </c>
      <c r="C51" s="20">
        <v>1.7509999999999999</v>
      </c>
      <c r="D51" s="20">
        <v>0.159</v>
      </c>
      <c r="E51" s="20">
        <v>1.829</v>
      </c>
      <c r="F51" s="42">
        <f t="shared" si="8"/>
        <v>7.8000000000000069E-2</v>
      </c>
      <c r="G51" s="43">
        <f t="shared" si="9"/>
        <v>0.5094339622641505</v>
      </c>
      <c r="H51" s="61">
        <f>AVERAGE(G51:G53)</f>
        <v>0.50740565722703435</v>
      </c>
      <c r="I51" s="45">
        <f t="shared" ref="I51" si="16">_xlfn.STDEV.S(G51:G53)*100</f>
        <v>0.37259563947915586</v>
      </c>
    </row>
    <row r="52" spans="1:9" x14ac:dyDescent="0.25">
      <c r="A52" s="53"/>
      <c r="B52" s="20">
        <v>2</v>
      </c>
      <c r="C52" s="54">
        <v>2.0830000000000002</v>
      </c>
      <c r="D52" s="55">
        <v>0.155</v>
      </c>
      <c r="E52" s="56">
        <v>2.1589999999999998</v>
      </c>
      <c r="F52" s="42">
        <f t="shared" si="8"/>
        <v>7.5999999999999623E-2</v>
      </c>
      <c r="G52" s="43">
        <f t="shared" si="9"/>
        <v>0.50967741935484112</v>
      </c>
      <c r="H52" s="62"/>
      <c r="I52" s="45"/>
    </row>
    <row r="53" spans="1:9" x14ac:dyDescent="0.25">
      <c r="A53" s="57"/>
      <c r="B53" s="20">
        <v>3</v>
      </c>
      <c r="C53" s="20">
        <v>2.048</v>
      </c>
      <c r="D53" s="20">
        <v>0.161</v>
      </c>
      <c r="E53" s="20">
        <v>2.1280000000000001</v>
      </c>
      <c r="F53" s="42">
        <f t="shared" si="8"/>
        <v>8.0000000000000071E-2</v>
      </c>
      <c r="G53" s="43">
        <f t="shared" si="9"/>
        <v>0.50310559006211142</v>
      </c>
      <c r="H53" s="63"/>
      <c r="I53" s="45"/>
    </row>
    <row r="54" spans="1:9" x14ac:dyDescent="0.25">
      <c r="A54" s="52" t="s">
        <v>95</v>
      </c>
      <c r="B54" s="20">
        <v>1</v>
      </c>
      <c r="C54" s="20">
        <v>1.744</v>
      </c>
      <c r="D54" s="20">
        <v>9.4E-2</v>
      </c>
      <c r="E54" s="20">
        <v>1.786</v>
      </c>
      <c r="F54" s="42">
        <f t="shared" si="8"/>
        <v>4.2000000000000037E-2</v>
      </c>
      <c r="G54" s="43">
        <f t="shared" si="9"/>
        <v>0.5531914893617017</v>
      </c>
      <c r="H54" s="61">
        <f>AVERAGE(G54:G56)</f>
        <v>0.55163591216709795</v>
      </c>
      <c r="I54" s="45">
        <f t="shared" ref="I54" si="17">_xlfn.STDEV.S(G54:G56)*100</f>
        <v>0.37407070139962095</v>
      </c>
    </row>
    <row r="55" spans="1:9" x14ac:dyDescent="0.25">
      <c r="A55" s="53"/>
      <c r="B55" s="20">
        <v>2</v>
      </c>
      <c r="C55" s="20">
        <v>1.7430000000000001</v>
      </c>
      <c r="D55" s="20">
        <v>9.1999999999999998E-2</v>
      </c>
      <c r="E55" s="20">
        <v>1.784</v>
      </c>
      <c r="F55" s="42">
        <f t="shared" si="8"/>
        <v>4.0999999999999925E-2</v>
      </c>
      <c r="G55" s="43">
        <f t="shared" si="9"/>
        <v>0.55434782608695732</v>
      </c>
      <c r="H55" s="62"/>
      <c r="I55" s="45"/>
    </row>
    <row r="56" spans="1:9" x14ac:dyDescent="0.25">
      <c r="A56" s="57"/>
      <c r="B56" s="20">
        <v>3</v>
      </c>
      <c r="C56" s="20">
        <v>2.0870000000000002</v>
      </c>
      <c r="D56" s="20">
        <v>9.5000000000000001E-2</v>
      </c>
      <c r="E56" s="20">
        <v>2.13</v>
      </c>
      <c r="F56" s="42">
        <f t="shared" si="8"/>
        <v>4.2999999999999705E-2</v>
      </c>
      <c r="G56" s="43">
        <f t="shared" si="9"/>
        <v>0.54736842105263472</v>
      </c>
      <c r="H56" s="63"/>
      <c r="I56" s="45"/>
    </row>
  </sheetData>
  <mergeCells count="53">
    <mergeCell ref="A54:A56"/>
    <mergeCell ref="H54:H56"/>
    <mergeCell ref="I54:I56"/>
    <mergeCell ref="A48:A50"/>
    <mergeCell ref="H48:H50"/>
    <mergeCell ref="I48:I50"/>
    <mergeCell ref="A51:A53"/>
    <mergeCell ref="H51:H53"/>
    <mergeCell ref="I51:I53"/>
    <mergeCell ref="A42:A44"/>
    <mergeCell ref="H42:H44"/>
    <mergeCell ref="I42:I44"/>
    <mergeCell ref="A45:A47"/>
    <mergeCell ref="H45:H47"/>
    <mergeCell ref="I45:I47"/>
    <mergeCell ref="A36:A38"/>
    <mergeCell ref="H36:H38"/>
    <mergeCell ref="I36:I38"/>
    <mergeCell ref="A39:A41"/>
    <mergeCell ref="H39:H41"/>
    <mergeCell ref="I39:I41"/>
    <mergeCell ref="A28:I28"/>
    <mergeCell ref="A30:A32"/>
    <mergeCell ref="H30:H32"/>
    <mergeCell ref="I30:I32"/>
    <mergeCell ref="A33:A35"/>
    <mergeCell ref="H33:H35"/>
    <mergeCell ref="I33:I35"/>
    <mergeCell ref="A21:A23"/>
    <mergeCell ref="H21:H23"/>
    <mergeCell ref="I21:I23"/>
    <mergeCell ref="A24:A26"/>
    <mergeCell ref="H24:H26"/>
    <mergeCell ref="I24:I26"/>
    <mergeCell ref="A15:A17"/>
    <mergeCell ref="H15:H17"/>
    <mergeCell ref="I15:I17"/>
    <mergeCell ref="A18:A20"/>
    <mergeCell ref="H18:H20"/>
    <mergeCell ref="I18:I20"/>
    <mergeCell ref="A9:A11"/>
    <mergeCell ref="H9:H11"/>
    <mergeCell ref="I9:I11"/>
    <mergeCell ref="A12:A14"/>
    <mergeCell ref="H12:H14"/>
    <mergeCell ref="I12:I14"/>
    <mergeCell ref="A1:I1"/>
    <mergeCell ref="A3:A5"/>
    <mergeCell ref="H3:H5"/>
    <mergeCell ref="I3:I5"/>
    <mergeCell ref="A6:A8"/>
    <mergeCell ref="H6:H8"/>
    <mergeCell ref="I6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B124-9ACC-496A-A186-44C5237CFA36}">
  <dimension ref="A1:N56"/>
  <sheetViews>
    <sheetView workbookViewId="0">
      <selection activeCell="N9" sqref="N9:N11"/>
    </sheetView>
  </sheetViews>
  <sheetFormatPr defaultRowHeight="15" x14ac:dyDescent="0.25"/>
  <sheetData>
    <row r="1" spans="1:14" x14ac:dyDescent="0.25">
      <c r="A1" s="6" t="s">
        <v>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75" x14ac:dyDescent="0.25">
      <c r="A2" s="64" t="s">
        <v>98</v>
      </c>
      <c r="B2" s="64" t="s">
        <v>81</v>
      </c>
      <c r="C2" s="64" t="s">
        <v>99</v>
      </c>
      <c r="D2" s="64" t="s">
        <v>100</v>
      </c>
      <c r="E2" s="64" t="s">
        <v>101</v>
      </c>
      <c r="F2" s="64" t="s">
        <v>102</v>
      </c>
      <c r="G2" s="64" t="s">
        <v>103</v>
      </c>
      <c r="H2" s="64" t="s">
        <v>104</v>
      </c>
      <c r="I2" s="64" t="s">
        <v>105</v>
      </c>
      <c r="J2" s="65" t="s">
        <v>106</v>
      </c>
      <c r="K2" s="64" t="s">
        <v>107</v>
      </c>
      <c r="L2" s="27" t="s">
        <v>87</v>
      </c>
      <c r="M2" s="64" t="s">
        <v>11</v>
      </c>
      <c r="N2" s="64" t="s">
        <v>73</v>
      </c>
    </row>
    <row r="3" spans="1:14" x14ac:dyDescent="0.25">
      <c r="A3" s="29" t="s">
        <v>108</v>
      </c>
      <c r="B3" s="16">
        <v>1</v>
      </c>
      <c r="C3" s="30">
        <v>4.2</v>
      </c>
      <c r="D3" s="66">
        <f>(1/4)*3.14159*(C3/100)^2</f>
        <v>1.3854411900000002E-3</v>
      </c>
      <c r="E3" s="30">
        <v>35.104999999999997</v>
      </c>
      <c r="F3" s="30">
        <v>35.109000000000002</v>
      </c>
      <c r="G3" s="30">
        <v>35.113999999999997</v>
      </c>
      <c r="H3" s="30">
        <v>35.118000000000002</v>
      </c>
      <c r="I3" s="30">
        <v>35.122999999999998</v>
      </c>
      <c r="J3" s="30">
        <f>I3-E3</f>
        <v>1.8000000000000682E-2</v>
      </c>
      <c r="K3" s="67">
        <f>J3/D3</f>
        <v>12.992251226485246</v>
      </c>
      <c r="L3" s="32">
        <f>AVERAGE(K3:K5)</f>
        <v>12.21993550151752</v>
      </c>
      <c r="M3" s="32">
        <f>_xlfn.STDEV.S(K3:K5)</f>
        <v>0.72707725117718658</v>
      </c>
      <c r="N3" s="68" t="s">
        <v>109</v>
      </c>
    </row>
    <row r="4" spans="1:14" x14ac:dyDescent="0.25">
      <c r="A4" s="33"/>
      <c r="B4" s="16">
        <v>2</v>
      </c>
      <c r="C4" s="30">
        <v>4.2</v>
      </c>
      <c r="D4" s="66">
        <f>(1/4)*3.14159*(C4/100)^2</f>
        <v>1.3854411900000002E-3</v>
      </c>
      <c r="E4" s="30">
        <v>34.950000000000003</v>
      </c>
      <c r="F4" s="30">
        <v>34.954000000000001</v>
      </c>
      <c r="G4" s="30">
        <v>34.957999999999998</v>
      </c>
      <c r="H4" s="30">
        <v>34.962000000000003</v>
      </c>
      <c r="I4" s="30">
        <v>34.966000000000001</v>
      </c>
      <c r="J4" s="30">
        <f t="shared" ref="J4:J26" si="0">I4-E4</f>
        <v>1.5999999999998238E-2</v>
      </c>
      <c r="K4" s="67">
        <f t="shared" ref="K4:K26" si="1">J4/D4</f>
        <v>11.548667756874066</v>
      </c>
      <c r="L4" s="33"/>
      <c r="M4" s="33"/>
      <c r="N4" s="69"/>
    </row>
    <row r="5" spans="1:14" x14ac:dyDescent="0.25">
      <c r="A5" s="34"/>
      <c r="B5" s="16">
        <v>3</v>
      </c>
      <c r="C5" s="30">
        <v>4.0999999999999996</v>
      </c>
      <c r="D5" s="66">
        <f t="shared" ref="D5:D26" si="2">(1/4)*3.14159*(C5/100)^2</f>
        <v>1.3202531974999996E-3</v>
      </c>
      <c r="E5" s="30">
        <v>35.020000000000003</v>
      </c>
      <c r="F5" s="30">
        <v>35.024000000000001</v>
      </c>
      <c r="G5" s="30">
        <v>35.027999999999999</v>
      </c>
      <c r="H5" s="30">
        <v>35.031999999999996</v>
      </c>
      <c r="I5" s="30">
        <v>35.036000000000001</v>
      </c>
      <c r="J5" s="30">
        <f t="shared" si="0"/>
        <v>1.5999999999998238E-2</v>
      </c>
      <c r="K5" s="67">
        <f t="shared" si="1"/>
        <v>12.118887521193255</v>
      </c>
      <c r="L5" s="34"/>
      <c r="M5" s="34"/>
      <c r="N5" s="7"/>
    </row>
    <row r="6" spans="1:14" x14ac:dyDescent="0.25">
      <c r="A6" s="29" t="s">
        <v>110</v>
      </c>
      <c r="B6" s="16">
        <v>1</v>
      </c>
      <c r="C6" s="30">
        <v>4.2</v>
      </c>
      <c r="D6" s="66">
        <f t="shared" si="2"/>
        <v>1.3854411900000002E-3</v>
      </c>
      <c r="E6" s="30">
        <v>35.11</v>
      </c>
      <c r="F6" s="30">
        <v>35.113999999999997</v>
      </c>
      <c r="G6" s="30">
        <v>35.116999999999997</v>
      </c>
      <c r="H6" s="30">
        <v>35.121000000000002</v>
      </c>
      <c r="I6" s="30">
        <v>35.125</v>
      </c>
      <c r="J6" s="30">
        <f t="shared" si="0"/>
        <v>1.5000000000000568E-2</v>
      </c>
      <c r="K6" s="67">
        <f t="shared" si="1"/>
        <v>10.826876022071039</v>
      </c>
      <c r="L6" s="32">
        <f>AVERAGE(K6:K8)</f>
        <v>11.371700610788922</v>
      </c>
      <c r="M6" s="32">
        <f>_xlfn.STDEV.S(K6:K8)</f>
        <v>0.78417818179959886</v>
      </c>
      <c r="N6" s="68" t="s">
        <v>109</v>
      </c>
    </row>
    <row r="7" spans="1:14" x14ac:dyDescent="0.25">
      <c r="A7" s="33"/>
      <c r="B7" s="16">
        <v>2</v>
      </c>
      <c r="C7" s="30">
        <v>4.2</v>
      </c>
      <c r="D7" s="66">
        <f t="shared" si="2"/>
        <v>1.3854411900000002E-3</v>
      </c>
      <c r="E7" s="30">
        <v>34.96</v>
      </c>
      <c r="F7" s="30">
        <v>34.963999999999999</v>
      </c>
      <c r="G7" s="30">
        <v>34.968000000000004</v>
      </c>
      <c r="H7" s="30">
        <v>34.972999999999999</v>
      </c>
      <c r="I7" s="30">
        <v>34.976999999999997</v>
      </c>
      <c r="J7" s="30">
        <f t="shared" si="0"/>
        <v>1.6999999999995907E-2</v>
      </c>
      <c r="K7" s="67">
        <f t="shared" si="1"/>
        <v>12.270459491677093</v>
      </c>
      <c r="L7" s="33"/>
      <c r="M7" s="33"/>
      <c r="N7" s="69"/>
    </row>
    <row r="8" spans="1:14" x14ac:dyDescent="0.25">
      <c r="A8" s="34"/>
      <c r="B8" s="16">
        <v>3</v>
      </c>
      <c r="C8" s="30">
        <v>4.3</v>
      </c>
      <c r="D8" s="66">
        <f t="shared" si="2"/>
        <v>1.4521999774999997E-3</v>
      </c>
      <c r="E8" s="30">
        <v>35.04</v>
      </c>
      <c r="F8" s="30">
        <v>35.043999999999997</v>
      </c>
      <c r="G8" s="30">
        <v>35.048000000000002</v>
      </c>
      <c r="H8" s="30">
        <v>35.052</v>
      </c>
      <c r="I8" s="30">
        <v>35.055999999999997</v>
      </c>
      <c r="J8" s="30">
        <f t="shared" si="0"/>
        <v>1.5999999999998238E-2</v>
      </c>
      <c r="K8" s="67">
        <f t="shared" si="1"/>
        <v>11.017766318618635</v>
      </c>
      <c r="L8" s="34"/>
      <c r="M8" s="34"/>
      <c r="N8" s="7"/>
    </row>
    <row r="9" spans="1:14" x14ac:dyDescent="0.25">
      <c r="A9" s="29" t="s">
        <v>111</v>
      </c>
      <c r="B9" s="16">
        <v>1</v>
      </c>
      <c r="C9" s="30">
        <v>4.2</v>
      </c>
      <c r="D9" s="66">
        <f t="shared" si="2"/>
        <v>1.3854411900000002E-3</v>
      </c>
      <c r="E9" s="30">
        <v>35.115000000000002</v>
      </c>
      <c r="F9" s="30">
        <v>35.116999999999997</v>
      </c>
      <c r="G9" s="30">
        <v>35.119999999999997</v>
      </c>
      <c r="H9" s="30">
        <v>35.122999999999998</v>
      </c>
      <c r="I9" s="30">
        <v>35.125</v>
      </c>
      <c r="J9" s="30">
        <f t="shared" si="0"/>
        <v>9.9999999999980105E-3</v>
      </c>
      <c r="K9" s="67">
        <f t="shared" si="1"/>
        <v>7.21791734804565</v>
      </c>
      <c r="L9" s="32">
        <f>AVERAGE(K9:K11)</f>
        <v>6.4961256132426231</v>
      </c>
      <c r="M9" s="32">
        <f>_xlfn.STDEV.S(K9:K11)</f>
        <v>0.7217917348030265</v>
      </c>
      <c r="N9" s="68" t="s">
        <v>112</v>
      </c>
    </row>
    <row r="10" spans="1:14" x14ac:dyDescent="0.25">
      <c r="A10" s="33"/>
      <c r="B10" s="16">
        <v>2</v>
      </c>
      <c r="C10" s="30">
        <v>4.2</v>
      </c>
      <c r="D10" s="66">
        <f t="shared" si="2"/>
        <v>1.3854411900000002E-3</v>
      </c>
      <c r="E10" s="30">
        <v>34.97</v>
      </c>
      <c r="F10" s="30">
        <v>34.972000000000001</v>
      </c>
      <c r="G10" s="30">
        <v>34.975000000000001</v>
      </c>
      <c r="H10" s="30">
        <v>34.976999999999997</v>
      </c>
      <c r="I10" s="30">
        <v>34.978999999999999</v>
      </c>
      <c r="J10" s="30">
        <f t="shared" si="0"/>
        <v>9.0000000000003411E-3</v>
      </c>
      <c r="K10" s="67">
        <f t="shared" si="1"/>
        <v>6.4961256132426231</v>
      </c>
      <c r="L10" s="33"/>
      <c r="M10" s="33"/>
      <c r="N10" s="69"/>
    </row>
    <row r="11" spans="1:14" x14ac:dyDescent="0.25">
      <c r="A11" s="34"/>
      <c r="B11" s="16">
        <v>3</v>
      </c>
      <c r="C11" s="30">
        <v>4.2</v>
      </c>
      <c r="D11" s="66">
        <f t="shared" si="2"/>
        <v>1.3854411900000002E-3</v>
      </c>
      <c r="E11" s="30">
        <v>35.049999999999997</v>
      </c>
      <c r="F11" s="30">
        <v>35.052</v>
      </c>
      <c r="G11" s="30">
        <v>35.054000000000002</v>
      </c>
      <c r="H11" s="30">
        <v>35.055999999999997</v>
      </c>
      <c r="I11" s="30">
        <v>35.058</v>
      </c>
      <c r="J11" s="30">
        <f t="shared" si="0"/>
        <v>8.0000000000026716E-3</v>
      </c>
      <c r="K11" s="67">
        <f t="shared" si="1"/>
        <v>5.774333878439597</v>
      </c>
      <c r="L11" s="34"/>
      <c r="M11" s="34"/>
      <c r="N11" s="7"/>
    </row>
    <row r="12" spans="1:14" x14ac:dyDescent="0.25">
      <c r="A12" s="29" t="s">
        <v>113</v>
      </c>
      <c r="B12" s="16">
        <v>1</v>
      </c>
      <c r="C12" s="30">
        <v>4.2</v>
      </c>
      <c r="D12" s="66">
        <f t="shared" si="2"/>
        <v>1.3854411900000002E-3</v>
      </c>
      <c r="E12" s="30">
        <v>35.119999999999997</v>
      </c>
      <c r="F12" s="30">
        <v>35.124000000000002</v>
      </c>
      <c r="G12" s="30">
        <v>35.128</v>
      </c>
      <c r="H12" s="30">
        <v>35.131999999999998</v>
      </c>
      <c r="I12" s="30">
        <v>35.136000000000003</v>
      </c>
      <c r="J12" s="30">
        <f t="shared" si="0"/>
        <v>1.6000000000005343E-2</v>
      </c>
      <c r="K12" s="67">
        <f t="shared" si="1"/>
        <v>11.548667756879194</v>
      </c>
      <c r="L12" s="32">
        <f>AVERAGE(K12:K14)</f>
        <v>11.005069698422522</v>
      </c>
      <c r="M12" s="32">
        <f>_xlfn.STDEV.S(K12:K14)</f>
        <v>0.78501099820696285</v>
      </c>
      <c r="N12" s="68" t="s">
        <v>109</v>
      </c>
    </row>
    <row r="13" spans="1:14" x14ac:dyDescent="0.25">
      <c r="A13" s="33"/>
      <c r="B13" s="16">
        <v>2</v>
      </c>
      <c r="C13" s="30">
        <v>4.2</v>
      </c>
      <c r="D13" s="66">
        <f t="shared" si="2"/>
        <v>1.3854411900000002E-3</v>
      </c>
      <c r="E13" s="30">
        <v>34.979999999999997</v>
      </c>
      <c r="F13" s="30">
        <v>34.982999999999997</v>
      </c>
      <c r="G13" s="30">
        <v>34.987000000000002</v>
      </c>
      <c r="H13" s="30">
        <v>34.99</v>
      </c>
      <c r="I13" s="30">
        <v>34.994</v>
      </c>
      <c r="J13" s="30">
        <f t="shared" si="0"/>
        <v>1.4000000000002899E-2</v>
      </c>
      <c r="K13" s="67">
        <f t="shared" si="1"/>
        <v>10.105084287268014</v>
      </c>
      <c r="L13" s="33"/>
      <c r="M13" s="33"/>
      <c r="N13" s="69"/>
    </row>
    <row r="14" spans="1:14" x14ac:dyDescent="0.25">
      <c r="A14" s="34"/>
      <c r="B14" s="16">
        <v>3</v>
      </c>
      <c r="C14" s="30">
        <v>4.0999999999999996</v>
      </c>
      <c r="D14" s="66">
        <f t="shared" si="2"/>
        <v>1.3202531974999996E-3</v>
      </c>
      <c r="E14" s="30">
        <v>35.06</v>
      </c>
      <c r="F14" s="30">
        <v>35.064</v>
      </c>
      <c r="G14" s="30">
        <v>35.067999999999998</v>
      </c>
      <c r="H14" s="30">
        <v>35.070999999999998</v>
      </c>
      <c r="I14" s="30">
        <v>35.075000000000003</v>
      </c>
      <c r="J14" s="30">
        <f t="shared" si="0"/>
        <v>1.5000000000000568E-2</v>
      </c>
      <c r="K14" s="67">
        <f t="shared" si="1"/>
        <v>11.361457051120357</v>
      </c>
      <c r="L14" s="34"/>
      <c r="M14" s="34"/>
      <c r="N14" s="7"/>
    </row>
    <row r="15" spans="1:14" x14ac:dyDescent="0.25">
      <c r="A15" s="29" t="s">
        <v>114</v>
      </c>
      <c r="B15" s="16">
        <v>1</v>
      </c>
      <c r="C15" s="30">
        <v>4.2</v>
      </c>
      <c r="D15" s="66">
        <f t="shared" si="2"/>
        <v>1.3854411900000002E-3</v>
      </c>
      <c r="E15" s="30">
        <v>35.125</v>
      </c>
      <c r="F15" s="30">
        <v>35.127000000000002</v>
      </c>
      <c r="G15" s="30">
        <v>35.128999999999998</v>
      </c>
      <c r="H15" s="30">
        <v>35.131</v>
      </c>
      <c r="I15" s="30">
        <v>35.133000000000003</v>
      </c>
      <c r="J15" s="30">
        <f t="shared" si="0"/>
        <v>8.0000000000026716E-3</v>
      </c>
      <c r="K15" s="67">
        <f t="shared" si="1"/>
        <v>5.774333878439597</v>
      </c>
      <c r="L15" s="32">
        <f>AVERAGE(K15:K17)</f>
        <v>5.9264475503313285</v>
      </c>
      <c r="M15" s="32">
        <f>_xlfn.STDEV.S(K15:K17)</f>
        <v>0.51089709589421695</v>
      </c>
      <c r="N15" s="68" t="s">
        <v>112</v>
      </c>
    </row>
    <row r="16" spans="1:14" x14ac:dyDescent="0.25">
      <c r="A16" s="33"/>
      <c r="B16" s="16">
        <v>2</v>
      </c>
      <c r="C16" s="30">
        <v>4.2</v>
      </c>
      <c r="D16" s="66">
        <f t="shared" si="2"/>
        <v>1.3854411900000002E-3</v>
      </c>
      <c r="E16" s="30">
        <v>34.99</v>
      </c>
      <c r="F16" s="30">
        <v>34.991999999999997</v>
      </c>
      <c r="G16" s="30">
        <v>34.994999999999997</v>
      </c>
      <c r="H16" s="30">
        <v>34.997</v>
      </c>
      <c r="I16" s="30">
        <v>34.999000000000002</v>
      </c>
      <c r="J16" s="30">
        <f t="shared" si="0"/>
        <v>9.0000000000003411E-3</v>
      </c>
      <c r="K16" s="67">
        <f t="shared" si="1"/>
        <v>6.4961256132426231</v>
      </c>
      <c r="L16" s="33"/>
      <c r="M16" s="33"/>
      <c r="N16" s="69"/>
    </row>
    <row r="17" spans="1:14" x14ac:dyDescent="0.25">
      <c r="A17" s="34"/>
      <c r="B17" s="16">
        <v>3</v>
      </c>
      <c r="C17" s="30">
        <v>4.3</v>
      </c>
      <c r="D17" s="66">
        <f t="shared" si="2"/>
        <v>1.4521999774999997E-3</v>
      </c>
      <c r="E17" s="30">
        <v>35.07</v>
      </c>
      <c r="F17" s="30">
        <v>35.072000000000003</v>
      </c>
      <c r="G17" s="30">
        <v>35.073999999999998</v>
      </c>
      <c r="H17" s="30">
        <v>35.076000000000001</v>
      </c>
      <c r="I17" s="30">
        <v>35.078000000000003</v>
      </c>
      <c r="J17" s="30">
        <f t="shared" si="0"/>
        <v>8.0000000000026716E-3</v>
      </c>
      <c r="K17" s="67">
        <f t="shared" si="1"/>
        <v>5.5088831593117646</v>
      </c>
      <c r="L17" s="34"/>
      <c r="M17" s="34"/>
      <c r="N17" s="7"/>
    </row>
    <row r="18" spans="1:14" x14ac:dyDescent="0.25">
      <c r="A18" s="29" t="s">
        <v>115</v>
      </c>
      <c r="B18" s="16">
        <v>1</v>
      </c>
      <c r="C18" s="30">
        <v>4.2</v>
      </c>
      <c r="D18" s="66">
        <f t="shared" si="2"/>
        <v>1.3854411900000002E-3</v>
      </c>
      <c r="E18" s="30">
        <v>35.130000000000003</v>
      </c>
      <c r="F18" s="30">
        <v>35.133000000000003</v>
      </c>
      <c r="G18" s="30">
        <v>35.136000000000003</v>
      </c>
      <c r="H18" s="30">
        <v>35.139000000000003</v>
      </c>
      <c r="I18" s="30">
        <v>35.142000000000003</v>
      </c>
      <c r="J18" s="30">
        <f t="shared" si="0"/>
        <v>1.2000000000000455E-2</v>
      </c>
      <c r="K18" s="67">
        <f t="shared" si="1"/>
        <v>8.6615008176568313</v>
      </c>
      <c r="L18" s="32">
        <f>AVERAGE(K18:K20)</f>
        <v>7.9397090828520964</v>
      </c>
      <c r="M18" s="32">
        <f>_xlfn.STDEV.S(K18:K20)</f>
        <v>0.72179173480559067</v>
      </c>
      <c r="N18" s="68" t="s">
        <v>112</v>
      </c>
    </row>
    <row r="19" spans="1:14" x14ac:dyDescent="0.25">
      <c r="A19" s="33"/>
      <c r="B19" s="16">
        <v>2</v>
      </c>
      <c r="C19" s="30">
        <v>4.2</v>
      </c>
      <c r="D19" s="66">
        <f t="shared" si="2"/>
        <v>1.3854411900000002E-3</v>
      </c>
      <c r="E19" s="30">
        <v>35</v>
      </c>
      <c r="F19" s="30">
        <v>35.002000000000002</v>
      </c>
      <c r="G19" s="30">
        <v>35.005000000000003</v>
      </c>
      <c r="H19" s="30">
        <v>35.006999999999998</v>
      </c>
      <c r="I19" s="30">
        <v>35.01</v>
      </c>
      <c r="J19" s="30">
        <f t="shared" si="0"/>
        <v>9.9999999999980105E-3</v>
      </c>
      <c r="K19" s="67">
        <f t="shared" si="1"/>
        <v>7.21791734804565</v>
      </c>
      <c r="L19" s="33"/>
      <c r="M19" s="33"/>
      <c r="N19" s="69"/>
    </row>
    <row r="20" spans="1:14" x14ac:dyDescent="0.25">
      <c r="A20" s="34"/>
      <c r="B20" s="16">
        <v>3</v>
      </c>
      <c r="C20" s="30">
        <v>4.2</v>
      </c>
      <c r="D20" s="66">
        <f t="shared" si="2"/>
        <v>1.3854411900000002E-3</v>
      </c>
      <c r="E20" s="30">
        <v>35.08</v>
      </c>
      <c r="F20" s="30">
        <v>35.082999999999998</v>
      </c>
      <c r="G20" s="30">
        <v>35.085999999999999</v>
      </c>
      <c r="H20" s="30">
        <v>35.088000000000001</v>
      </c>
      <c r="I20" s="30">
        <v>35.091000000000001</v>
      </c>
      <c r="J20" s="30">
        <f t="shared" si="0"/>
        <v>1.1000000000002785E-2</v>
      </c>
      <c r="K20" s="67">
        <f t="shared" si="1"/>
        <v>7.9397090828538053</v>
      </c>
      <c r="L20" s="34"/>
      <c r="M20" s="34"/>
      <c r="N20" s="7"/>
    </row>
    <row r="21" spans="1:14" x14ac:dyDescent="0.25">
      <c r="A21" s="29" t="s">
        <v>116</v>
      </c>
      <c r="B21" s="16">
        <v>1</v>
      </c>
      <c r="C21" s="30">
        <v>4.2</v>
      </c>
      <c r="D21" s="66">
        <f t="shared" si="2"/>
        <v>1.3854411900000002E-3</v>
      </c>
      <c r="E21" s="30">
        <v>35.134999999999998</v>
      </c>
      <c r="F21" s="30">
        <v>35.137</v>
      </c>
      <c r="G21" s="30">
        <v>35.139000000000003</v>
      </c>
      <c r="H21" s="30">
        <v>35.142000000000003</v>
      </c>
      <c r="I21" s="30">
        <v>35.143999999999998</v>
      </c>
      <c r="J21" s="30">
        <f t="shared" si="0"/>
        <v>9.0000000000003411E-3</v>
      </c>
      <c r="K21" s="67">
        <f t="shared" si="1"/>
        <v>6.4961256132426231</v>
      </c>
      <c r="L21" s="32">
        <f>AVERAGE(K21:K23)</f>
        <v>6.6149213974757783</v>
      </c>
      <c r="M21" s="32">
        <f>_xlfn.STDEV.S(K21:K23)</f>
        <v>0.90584660348839308</v>
      </c>
      <c r="N21" s="68" t="s">
        <v>112</v>
      </c>
    </row>
    <row r="22" spans="1:14" x14ac:dyDescent="0.25">
      <c r="A22" s="33"/>
      <c r="B22" s="16">
        <v>2</v>
      </c>
      <c r="C22" s="30">
        <v>4.2</v>
      </c>
      <c r="D22" s="66">
        <f t="shared" si="2"/>
        <v>1.3854411900000002E-3</v>
      </c>
      <c r="E22" s="30">
        <v>35.01</v>
      </c>
      <c r="F22" s="30">
        <v>35.012</v>
      </c>
      <c r="G22" s="30">
        <v>35.014000000000003</v>
      </c>
      <c r="H22" s="30">
        <v>35.015999999999998</v>
      </c>
      <c r="I22" s="30">
        <v>35.018000000000001</v>
      </c>
      <c r="J22" s="30">
        <f t="shared" si="0"/>
        <v>8.0000000000026716E-3</v>
      </c>
      <c r="K22" s="67">
        <f t="shared" si="1"/>
        <v>5.774333878439597</v>
      </c>
      <c r="L22" s="33"/>
      <c r="M22" s="33"/>
      <c r="N22" s="69"/>
    </row>
    <row r="23" spans="1:14" x14ac:dyDescent="0.25">
      <c r="A23" s="34"/>
      <c r="B23" s="16">
        <v>3</v>
      </c>
      <c r="C23" s="30">
        <v>4.0999999999999996</v>
      </c>
      <c r="D23" s="66">
        <f t="shared" si="2"/>
        <v>1.3202531974999996E-3</v>
      </c>
      <c r="E23" s="30">
        <v>35.090000000000003</v>
      </c>
      <c r="F23" s="30">
        <v>35.091999999999999</v>
      </c>
      <c r="G23" s="30">
        <v>35.094999999999999</v>
      </c>
      <c r="H23" s="30">
        <v>35.097999999999999</v>
      </c>
      <c r="I23" s="30">
        <v>35.1</v>
      </c>
      <c r="J23" s="30">
        <f t="shared" si="0"/>
        <v>9.9999999999980105E-3</v>
      </c>
      <c r="K23" s="67">
        <f t="shared" si="1"/>
        <v>7.5743047007451114</v>
      </c>
      <c r="L23" s="34"/>
      <c r="M23" s="34"/>
      <c r="N23" s="7"/>
    </row>
    <row r="24" spans="1:14" x14ac:dyDescent="0.25">
      <c r="A24" s="29" t="s">
        <v>117</v>
      </c>
      <c r="B24" s="16">
        <v>1</v>
      </c>
      <c r="C24" s="30">
        <v>4.2</v>
      </c>
      <c r="D24" s="66">
        <f t="shared" si="2"/>
        <v>1.3854411900000002E-3</v>
      </c>
      <c r="E24" s="30">
        <v>35.14</v>
      </c>
      <c r="F24" s="30">
        <v>35.142000000000003</v>
      </c>
      <c r="G24" s="30">
        <v>35.143999999999998</v>
      </c>
      <c r="H24" s="30">
        <v>35.146000000000001</v>
      </c>
      <c r="I24" s="30">
        <v>35.148000000000003</v>
      </c>
      <c r="J24" s="30">
        <f t="shared" si="0"/>
        <v>8.0000000000026716E-3</v>
      </c>
      <c r="K24" s="67">
        <f t="shared" si="1"/>
        <v>5.774333878439597</v>
      </c>
      <c r="L24" s="32">
        <f>AVERAGE(K24:K26)</f>
        <v>5.6969107520256514</v>
      </c>
      <c r="M24" s="32">
        <f>_xlfn.STDEV.S(K24:K26)</f>
        <v>0.8406048109103863</v>
      </c>
      <c r="N24" s="68" t="s">
        <v>112</v>
      </c>
    </row>
    <row r="25" spans="1:14" x14ac:dyDescent="0.25">
      <c r="A25" s="33"/>
      <c r="B25" s="16">
        <v>2</v>
      </c>
      <c r="C25" s="30">
        <v>4.3</v>
      </c>
      <c r="D25" s="66">
        <f t="shared" si="2"/>
        <v>1.4521999774999997E-3</v>
      </c>
      <c r="E25" s="30">
        <v>35.020000000000003</v>
      </c>
      <c r="F25" s="30">
        <v>35.021999999999998</v>
      </c>
      <c r="G25" s="30">
        <v>35.024000000000001</v>
      </c>
      <c r="H25" s="30">
        <v>35.024999999999999</v>
      </c>
      <c r="I25" s="30">
        <v>35.027000000000001</v>
      </c>
      <c r="J25" s="30">
        <f t="shared" si="0"/>
        <v>6.9999999999978968E-3</v>
      </c>
      <c r="K25" s="67">
        <f t="shared" si="1"/>
        <v>4.8202727643947361</v>
      </c>
      <c r="L25" s="33"/>
      <c r="M25" s="33"/>
      <c r="N25" s="69"/>
    </row>
    <row r="26" spans="1:14" x14ac:dyDescent="0.25">
      <c r="A26" s="34"/>
      <c r="B26" s="16">
        <v>3</v>
      </c>
      <c r="C26" s="30">
        <v>4.2</v>
      </c>
      <c r="D26" s="66">
        <f t="shared" si="2"/>
        <v>1.3854411900000002E-3</v>
      </c>
      <c r="E26" s="30">
        <v>35.1</v>
      </c>
      <c r="F26" s="30">
        <v>35.101999999999997</v>
      </c>
      <c r="G26" s="30">
        <v>35.104999999999997</v>
      </c>
      <c r="H26" s="30">
        <v>35.106999999999999</v>
      </c>
      <c r="I26" s="30">
        <v>35.109000000000002</v>
      </c>
      <c r="J26" s="30">
        <f t="shared" si="0"/>
        <v>9.0000000000003411E-3</v>
      </c>
      <c r="K26" s="67">
        <f t="shared" si="1"/>
        <v>6.4961256132426231</v>
      </c>
      <c r="L26" s="34"/>
      <c r="M26" s="34"/>
      <c r="N26" s="7"/>
    </row>
    <row r="28" spans="1:14" x14ac:dyDescent="0.25">
      <c r="A28" s="35" t="s">
        <v>76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spans="1:14" ht="60" x14ac:dyDescent="0.25">
      <c r="A29" s="64" t="s">
        <v>98</v>
      </c>
      <c r="B29" s="64" t="s">
        <v>81</v>
      </c>
      <c r="C29" s="64" t="s">
        <v>99</v>
      </c>
      <c r="D29" s="64" t="s">
        <v>100</v>
      </c>
      <c r="E29" s="64" t="s">
        <v>101</v>
      </c>
      <c r="F29" s="64" t="s">
        <v>102</v>
      </c>
      <c r="G29" s="64" t="s">
        <v>103</v>
      </c>
      <c r="H29" s="64" t="s">
        <v>104</v>
      </c>
      <c r="I29" s="64" t="s">
        <v>105</v>
      </c>
      <c r="J29" s="65" t="s">
        <v>106</v>
      </c>
      <c r="K29" s="64" t="s">
        <v>118</v>
      </c>
      <c r="L29" s="27" t="s">
        <v>87</v>
      </c>
      <c r="M29" s="64" t="s">
        <v>11</v>
      </c>
      <c r="N29" s="64" t="s">
        <v>73</v>
      </c>
    </row>
    <row r="30" spans="1:14" x14ac:dyDescent="0.25">
      <c r="A30" s="29" t="s">
        <v>108</v>
      </c>
      <c r="B30" s="16">
        <v>1</v>
      </c>
      <c r="C30" s="30">
        <v>4.0999999999999996</v>
      </c>
      <c r="D30" s="66">
        <f>(1/4)*3.14159*(C30/100)^2</f>
        <v>1.3202531974999996E-3</v>
      </c>
      <c r="E30" s="30">
        <v>35.104999999999997</v>
      </c>
      <c r="F30" s="30">
        <v>35.11</v>
      </c>
      <c r="G30" s="30">
        <v>35.115000000000002</v>
      </c>
      <c r="H30" s="30">
        <v>35.119</v>
      </c>
      <c r="I30" s="30">
        <v>35.124000000000002</v>
      </c>
      <c r="J30" s="30">
        <f>I30-E30</f>
        <v>1.9000000000005457E-2</v>
      </c>
      <c r="K30" s="67">
        <f>J30/D30</f>
        <v>14.391178931422708</v>
      </c>
      <c r="L30" s="32">
        <f>AVERAGE(K30:K32)</f>
        <v>13.948082817029011</v>
      </c>
      <c r="M30" s="32">
        <f>_xlfn.STDEV.S(K30:K32)</f>
        <v>0.82850644674320884</v>
      </c>
      <c r="N30" s="68" t="s">
        <v>109</v>
      </c>
    </row>
    <row r="31" spans="1:14" x14ac:dyDescent="0.25">
      <c r="A31" s="33"/>
      <c r="B31" s="16">
        <v>2</v>
      </c>
      <c r="C31" s="30">
        <v>4.3</v>
      </c>
      <c r="D31" s="66">
        <f t="shared" ref="D31:D56" si="3">(1/4)*3.14159*(C31/100)^2</f>
        <v>1.4521999774999997E-3</v>
      </c>
      <c r="E31" s="30">
        <v>34.950000000000003</v>
      </c>
      <c r="F31" s="30">
        <v>34.954999999999998</v>
      </c>
      <c r="G31" s="30">
        <v>34.96</v>
      </c>
      <c r="H31" s="30">
        <v>34.966000000000001</v>
      </c>
      <c r="I31" s="30">
        <v>34.970999999999997</v>
      </c>
      <c r="J31" s="30">
        <f t="shared" ref="J31:J56" si="4">I31-E31</f>
        <v>2.099999999999369E-2</v>
      </c>
      <c r="K31" s="67">
        <f t="shared" ref="K31:K56" si="5">J31/D31</f>
        <v>14.460818293184207</v>
      </c>
      <c r="L31" s="33"/>
      <c r="M31" s="33"/>
      <c r="N31" s="69"/>
    </row>
    <row r="32" spans="1:14" x14ac:dyDescent="0.25">
      <c r="A32" s="34"/>
      <c r="B32" s="16">
        <v>3</v>
      </c>
      <c r="C32" s="30">
        <v>4.2</v>
      </c>
      <c r="D32" s="66">
        <f t="shared" si="3"/>
        <v>1.3854411900000002E-3</v>
      </c>
      <c r="E32" s="30">
        <v>35.020000000000003</v>
      </c>
      <c r="F32" s="30">
        <v>35.024999999999999</v>
      </c>
      <c r="G32" s="30">
        <v>35.029000000000003</v>
      </c>
      <c r="H32" s="30">
        <v>35.033999999999999</v>
      </c>
      <c r="I32" s="30">
        <v>35.037999999999997</v>
      </c>
      <c r="J32" s="30">
        <f t="shared" si="4"/>
        <v>1.7999999999993577E-2</v>
      </c>
      <c r="K32" s="67">
        <f t="shared" si="5"/>
        <v>12.992251226480118</v>
      </c>
      <c r="L32" s="34"/>
      <c r="M32" s="34"/>
      <c r="N32" s="7"/>
    </row>
    <row r="33" spans="1:14" x14ac:dyDescent="0.25">
      <c r="A33" s="29" t="s">
        <v>110</v>
      </c>
      <c r="B33" s="16">
        <v>1</v>
      </c>
      <c r="C33" s="30">
        <v>4.2</v>
      </c>
      <c r="D33" s="66">
        <f t="shared" si="3"/>
        <v>1.3854411900000002E-3</v>
      </c>
      <c r="E33" s="30">
        <v>35.11</v>
      </c>
      <c r="F33" s="30">
        <v>35.115000000000002</v>
      </c>
      <c r="G33" s="30">
        <v>35.119</v>
      </c>
      <c r="H33" s="30">
        <v>35.124000000000002</v>
      </c>
      <c r="I33" s="30">
        <v>35.128</v>
      </c>
      <c r="J33" s="30">
        <f t="shared" si="4"/>
        <v>1.8000000000000682E-2</v>
      </c>
      <c r="K33" s="67">
        <f t="shared" si="5"/>
        <v>12.992251226485246</v>
      </c>
      <c r="L33" s="32">
        <f>AVERAGE(K33:K35)</f>
        <v>11.967458678159892</v>
      </c>
      <c r="M33" s="32">
        <f>_xlfn.STDEV.S(K33:K35)</f>
        <v>0.89241906490985712</v>
      </c>
      <c r="N33" s="68" t="s">
        <v>109</v>
      </c>
    </row>
    <row r="34" spans="1:14" x14ac:dyDescent="0.25">
      <c r="A34" s="33"/>
      <c r="B34" s="16">
        <v>2</v>
      </c>
      <c r="C34" s="30">
        <v>4.0999999999999996</v>
      </c>
      <c r="D34" s="66">
        <f t="shared" si="3"/>
        <v>1.3202531974999996E-3</v>
      </c>
      <c r="E34" s="30">
        <v>34.96</v>
      </c>
      <c r="F34" s="30">
        <v>34.963999999999999</v>
      </c>
      <c r="G34" s="30">
        <v>34.968000000000004</v>
      </c>
      <c r="H34" s="30">
        <v>34.970999999999997</v>
      </c>
      <c r="I34" s="30">
        <v>34.975000000000001</v>
      </c>
      <c r="J34" s="30">
        <f t="shared" si="4"/>
        <v>1.5000000000000568E-2</v>
      </c>
      <c r="K34" s="67">
        <f t="shared" si="5"/>
        <v>11.361457051120357</v>
      </c>
      <c r="L34" s="33"/>
      <c r="M34" s="33"/>
      <c r="N34" s="69"/>
    </row>
    <row r="35" spans="1:14" x14ac:dyDescent="0.25">
      <c r="A35" s="34"/>
      <c r="B35" s="16">
        <v>3</v>
      </c>
      <c r="C35" s="30">
        <v>4.2</v>
      </c>
      <c r="D35" s="66">
        <f t="shared" si="3"/>
        <v>1.3854411900000002E-3</v>
      </c>
      <c r="E35" s="30">
        <v>35.04</v>
      </c>
      <c r="F35" s="30">
        <v>35.043999999999997</v>
      </c>
      <c r="G35" s="30">
        <v>35.048000000000002</v>
      </c>
      <c r="H35" s="30">
        <v>35.052</v>
      </c>
      <c r="I35" s="30">
        <v>35.055999999999997</v>
      </c>
      <c r="J35" s="30">
        <f t="shared" si="4"/>
        <v>1.5999999999998238E-2</v>
      </c>
      <c r="K35" s="67">
        <f t="shared" si="5"/>
        <v>11.548667756874066</v>
      </c>
      <c r="L35" s="34"/>
      <c r="M35" s="34"/>
      <c r="N35" s="7"/>
    </row>
    <row r="36" spans="1:14" x14ac:dyDescent="0.25">
      <c r="A36" s="29" t="s">
        <v>111</v>
      </c>
      <c r="B36" s="16">
        <v>1</v>
      </c>
      <c r="C36" s="30">
        <v>4.3</v>
      </c>
      <c r="D36" s="66">
        <f t="shared" si="3"/>
        <v>1.4521999774999997E-3</v>
      </c>
      <c r="E36" s="30">
        <v>35.115000000000002</v>
      </c>
      <c r="F36" s="30">
        <v>35.119</v>
      </c>
      <c r="G36" s="30">
        <v>35.122999999999998</v>
      </c>
      <c r="H36" s="30">
        <v>35.127000000000002</v>
      </c>
      <c r="I36" s="30">
        <v>35.131</v>
      </c>
      <c r="J36" s="30">
        <f t="shared" si="4"/>
        <v>1.5999999999998238E-2</v>
      </c>
      <c r="K36" s="67">
        <f t="shared" si="5"/>
        <v>11.017766318618635</v>
      </c>
      <c r="L36" s="32">
        <f>AVERAGE(K36:K38)</f>
        <v>10.82810255233567</v>
      </c>
      <c r="M36" s="32">
        <f>_xlfn.STDEV.S(K36:K38)</f>
        <v>0.64930531232847166</v>
      </c>
      <c r="N36" s="68" t="s">
        <v>109</v>
      </c>
    </row>
    <row r="37" spans="1:14" x14ac:dyDescent="0.25">
      <c r="A37" s="33"/>
      <c r="B37" s="16">
        <v>2</v>
      </c>
      <c r="C37" s="30">
        <v>4.2</v>
      </c>
      <c r="D37" s="66">
        <f t="shared" si="3"/>
        <v>1.3854411900000002E-3</v>
      </c>
      <c r="E37" s="30">
        <v>34.97</v>
      </c>
      <c r="F37" s="30">
        <v>34.972999999999999</v>
      </c>
      <c r="G37" s="30">
        <v>34.976999999999997</v>
      </c>
      <c r="H37" s="30">
        <v>34.979999999999997</v>
      </c>
      <c r="I37" s="30">
        <v>34.984000000000002</v>
      </c>
      <c r="J37" s="30">
        <f t="shared" si="4"/>
        <v>1.4000000000002899E-2</v>
      </c>
      <c r="K37" s="67">
        <f t="shared" si="5"/>
        <v>10.105084287268014</v>
      </c>
      <c r="L37" s="33"/>
      <c r="M37" s="33"/>
      <c r="N37" s="69"/>
    </row>
    <row r="38" spans="1:14" x14ac:dyDescent="0.25">
      <c r="A38" s="34"/>
      <c r="B38" s="16">
        <v>3</v>
      </c>
      <c r="C38" s="30">
        <v>4.0999999999999996</v>
      </c>
      <c r="D38" s="66">
        <f t="shared" si="3"/>
        <v>1.3202531974999996E-3</v>
      </c>
      <c r="E38" s="30">
        <v>35.049999999999997</v>
      </c>
      <c r="F38" s="30">
        <v>35.054000000000002</v>
      </c>
      <c r="G38" s="30">
        <v>35.058</v>
      </c>
      <c r="H38" s="30">
        <v>35.061</v>
      </c>
      <c r="I38" s="30">
        <v>35.064999999999998</v>
      </c>
      <c r="J38" s="30">
        <f t="shared" si="4"/>
        <v>1.5000000000000568E-2</v>
      </c>
      <c r="K38" s="67">
        <f t="shared" si="5"/>
        <v>11.361457051120357</v>
      </c>
      <c r="L38" s="34"/>
      <c r="M38" s="34"/>
      <c r="N38" s="7"/>
    </row>
    <row r="39" spans="1:14" x14ac:dyDescent="0.25">
      <c r="A39" s="29" t="s">
        <v>119</v>
      </c>
      <c r="B39" s="16">
        <v>1</v>
      </c>
      <c r="C39" s="30">
        <v>4.2</v>
      </c>
      <c r="D39" s="66">
        <f t="shared" si="3"/>
        <v>1.3854411900000002E-3</v>
      </c>
      <c r="E39" s="30">
        <v>35.119999999999997</v>
      </c>
      <c r="F39" s="30">
        <v>35.125</v>
      </c>
      <c r="G39" s="30">
        <v>35.130000000000003</v>
      </c>
      <c r="H39" s="30">
        <v>35.134</v>
      </c>
      <c r="I39" s="30">
        <v>35.139000000000003</v>
      </c>
      <c r="J39" s="30">
        <f t="shared" si="4"/>
        <v>1.9000000000005457E-2</v>
      </c>
      <c r="K39" s="67">
        <f t="shared" si="5"/>
        <v>13.714042961293401</v>
      </c>
      <c r="L39" s="32">
        <f>AVERAGE(K39:K41)</f>
        <v>13.252236783749231</v>
      </c>
      <c r="M39" s="32">
        <f>_xlfn.STDEV.S(K39:K41)</f>
        <v>0.85074131108537165</v>
      </c>
      <c r="N39" s="68" t="s">
        <v>109</v>
      </c>
    </row>
    <row r="40" spans="1:14" x14ac:dyDescent="0.25">
      <c r="A40" s="33"/>
      <c r="B40" s="16">
        <v>2</v>
      </c>
      <c r="C40" s="30">
        <v>4.2</v>
      </c>
      <c r="D40" s="66">
        <f t="shared" si="3"/>
        <v>1.3854411900000002E-3</v>
      </c>
      <c r="E40" s="30">
        <v>34.979999999999997</v>
      </c>
      <c r="F40" s="30">
        <v>34.984000000000002</v>
      </c>
      <c r="G40" s="30">
        <v>34.988</v>
      </c>
      <c r="H40" s="30">
        <v>34.993000000000002</v>
      </c>
      <c r="I40" s="30">
        <v>34.997</v>
      </c>
      <c r="J40" s="30">
        <f t="shared" si="4"/>
        <v>1.7000000000003013E-2</v>
      </c>
      <c r="K40" s="67">
        <f t="shared" si="5"/>
        <v>12.270459491682221</v>
      </c>
      <c r="L40" s="33"/>
      <c r="M40" s="33"/>
      <c r="N40" s="69"/>
    </row>
    <row r="41" spans="1:14" x14ac:dyDescent="0.25">
      <c r="A41" s="34"/>
      <c r="B41" s="16">
        <v>3</v>
      </c>
      <c r="C41" s="30">
        <v>4.3</v>
      </c>
      <c r="D41" s="66">
        <f t="shared" si="3"/>
        <v>1.4521999774999997E-3</v>
      </c>
      <c r="E41" s="30">
        <v>35.06</v>
      </c>
      <c r="F41" s="30">
        <v>35.064999999999998</v>
      </c>
      <c r="G41" s="30">
        <v>35.07</v>
      </c>
      <c r="H41" s="30">
        <v>35.075000000000003</v>
      </c>
      <c r="I41" s="30">
        <v>35.08</v>
      </c>
      <c r="J41" s="30">
        <f t="shared" si="4"/>
        <v>1.9999999999996021E-2</v>
      </c>
      <c r="K41" s="67">
        <f t="shared" si="5"/>
        <v>13.772207898272072</v>
      </c>
      <c r="L41" s="34"/>
      <c r="M41" s="34"/>
      <c r="N41" s="7"/>
    </row>
    <row r="42" spans="1:14" x14ac:dyDescent="0.25">
      <c r="A42" s="29" t="s">
        <v>113</v>
      </c>
      <c r="B42" s="16">
        <v>1</v>
      </c>
      <c r="C42" s="30">
        <v>4.0999999999999996</v>
      </c>
      <c r="D42" s="66">
        <f t="shared" si="3"/>
        <v>1.3202531974999996E-3</v>
      </c>
      <c r="E42" s="30">
        <v>35.125</v>
      </c>
      <c r="F42" s="30">
        <v>35.128999999999998</v>
      </c>
      <c r="G42" s="30">
        <v>35.133000000000003</v>
      </c>
      <c r="H42" s="30">
        <v>35.137</v>
      </c>
      <c r="I42" s="30">
        <v>35.140999999999998</v>
      </c>
      <c r="J42" s="30">
        <f t="shared" si="4"/>
        <v>1.5999999999998238E-2</v>
      </c>
      <c r="K42" s="67">
        <f t="shared" si="5"/>
        <v>12.118887521193255</v>
      </c>
      <c r="L42" s="32">
        <f>AVERAGE(K42:K44)</f>
        <v>11.738741011648836</v>
      </c>
      <c r="M42" s="32">
        <f>_xlfn.STDEV.S(K42:K44)</f>
        <v>0.79332643657750823</v>
      </c>
      <c r="N42" s="68" t="s">
        <v>109</v>
      </c>
    </row>
    <row r="43" spans="1:14" x14ac:dyDescent="0.25">
      <c r="A43" s="33"/>
      <c r="B43" s="16">
        <v>2</v>
      </c>
      <c r="C43" s="30">
        <v>4.2</v>
      </c>
      <c r="D43" s="66">
        <f t="shared" si="3"/>
        <v>1.3854411900000002E-3</v>
      </c>
      <c r="E43" s="30">
        <v>34.99</v>
      </c>
      <c r="F43" s="30">
        <v>34.994</v>
      </c>
      <c r="G43" s="30">
        <v>34.997</v>
      </c>
      <c r="H43" s="30">
        <v>35.000999999999998</v>
      </c>
      <c r="I43" s="30">
        <v>35.005000000000003</v>
      </c>
      <c r="J43" s="30">
        <f t="shared" si="4"/>
        <v>1.5000000000000568E-2</v>
      </c>
      <c r="K43" s="67">
        <f t="shared" si="5"/>
        <v>10.826876022071039</v>
      </c>
      <c r="L43" s="33"/>
      <c r="M43" s="33"/>
      <c r="N43" s="69"/>
    </row>
    <row r="44" spans="1:14" x14ac:dyDescent="0.25">
      <c r="A44" s="34"/>
      <c r="B44" s="16">
        <v>3</v>
      </c>
      <c r="C44" s="30">
        <v>4.2</v>
      </c>
      <c r="D44" s="66">
        <f t="shared" si="3"/>
        <v>1.3854411900000002E-3</v>
      </c>
      <c r="E44" s="30">
        <v>35.07</v>
      </c>
      <c r="F44" s="30">
        <v>35.073999999999998</v>
      </c>
      <c r="G44" s="30">
        <v>35.078000000000003</v>
      </c>
      <c r="H44" s="30">
        <v>35.082999999999998</v>
      </c>
      <c r="I44" s="30">
        <v>35.087000000000003</v>
      </c>
      <c r="J44" s="30">
        <f t="shared" si="4"/>
        <v>1.7000000000003013E-2</v>
      </c>
      <c r="K44" s="67">
        <f t="shared" si="5"/>
        <v>12.270459491682221</v>
      </c>
      <c r="L44" s="34"/>
      <c r="M44" s="34"/>
      <c r="N44" s="7"/>
    </row>
    <row r="45" spans="1:14" x14ac:dyDescent="0.25">
      <c r="A45" s="29" t="s">
        <v>114</v>
      </c>
      <c r="B45" s="16">
        <v>1</v>
      </c>
      <c r="C45" s="30">
        <v>4.2</v>
      </c>
      <c r="D45" s="66">
        <f t="shared" si="3"/>
        <v>1.3854411900000002E-3</v>
      </c>
      <c r="E45" s="30">
        <v>35.130000000000003</v>
      </c>
      <c r="F45" s="30">
        <v>35.134</v>
      </c>
      <c r="G45" s="30">
        <v>35.137</v>
      </c>
      <c r="H45" s="30">
        <v>35.140999999999998</v>
      </c>
      <c r="I45" s="30">
        <v>35.143999999999998</v>
      </c>
      <c r="J45" s="30">
        <f t="shared" si="4"/>
        <v>1.3999999999995794E-2</v>
      </c>
      <c r="K45" s="67">
        <f t="shared" si="5"/>
        <v>10.105084287262883</v>
      </c>
      <c r="L45" s="32">
        <f>AVERAGE(K45:K47)</f>
        <v>10.575625728976325</v>
      </c>
      <c r="M45" s="32">
        <f>_xlfn.STDEV.S(K45:K47)</f>
        <v>0.45700336857477353</v>
      </c>
      <c r="N45" s="68" t="s">
        <v>109</v>
      </c>
    </row>
    <row r="46" spans="1:14" x14ac:dyDescent="0.25">
      <c r="A46" s="33"/>
      <c r="B46" s="16">
        <v>2</v>
      </c>
      <c r="C46" s="30">
        <v>4.3</v>
      </c>
      <c r="D46" s="66">
        <f t="shared" si="3"/>
        <v>1.4521999774999997E-3</v>
      </c>
      <c r="E46" s="30">
        <v>35</v>
      </c>
      <c r="F46" s="30">
        <v>35.003999999999998</v>
      </c>
      <c r="G46" s="30">
        <v>35.008000000000003</v>
      </c>
      <c r="H46" s="30">
        <v>35.012</v>
      </c>
      <c r="I46" s="30">
        <v>35.015999999999998</v>
      </c>
      <c r="J46" s="30">
        <f t="shared" si="4"/>
        <v>1.5999999999998238E-2</v>
      </c>
      <c r="K46" s="67">
        <f t="shared" si="5"/>
        <v>11.017766318618635</v>
      </c>
      <c r="L46" s="33"/>
      <c r="M46" s="33"/>
      <c r="N46" s="69"/>
    </row>
    <row r="47" spans="1:14" x14ac:dyDescent="0.25">
      <c r="A47" s="34"/>
      <c r="B47" s="16">
        <v>3</v>
      </c>
      <c r="C47" s="30">
        <v>4.0999999999999996</v>
      </c>
      <c r="D47" s="66">
        <f t="shared" si="3"/>
        <v>1.3202531974999996E-3</v>
      </c>
      <c r="E47" s="30">
        <v>35.08</v>
      </c>
      <c r="F47" s="30">
        <v>35.084000000000003</v>
      </c>
      <c r="G47" s="30">
        <v>35.087000000000003</v>
      </c>
      <c r="H47" s="30">
        <v>35.091000000000001</v>
      </c>
      <c r="I47" s="30">
        <v>35.094000000000001</v>
      </c>
      <c r="J47" s="30">
        <f t="shared" si="4"/>
        <v>1.4000000000002899E-2</v>
      </c>
      <c r="K47" s="67">
        <f t="shared" si="5"/>
        <v>10.60402658104746</v>
      </c>
      <c r="L47" s="34"/>
      <c r="M47" s="34"/>
      <c r="N47" s="7"/>
    </row>
    <row r="48" spans="1:14" x14ac:dyDescent="0.25">
      <c r="A48" s="29" t="s">
        <v>115</v>
      </c>
      <c r="B48" s="16">
        <v>1</v>
      </c>
      <c r="C48" s="30">
        <v>4.2</v>
      </c>
      <c r="D48" s="66">
        <f t="shared" si="3"/>
        <v>1.3854411900000002E-3</v>
      </c>
      <c r="E48" s="30">
        <v>35.134999999999998</v>
      </c>
      <c r="F48" s="30">
        <v>35.14</v>
      </c>
      <c r="G48" s="30">
        <v>35.143999999999998</v>
      </c>
      <c r="H48" s="30">
        <v>35.149000000000001</v>
      </c>
      <c r="I48" s="30">
        <v>35.152999999999999</v>
      </c>
      <c r="J48" s="30">
        <f t="shared" si="4"/>
        <v>1.8000000000000682E-2</v>
      </c>
      <c r="K48" s="67">
        <f t="shared" si="5"/>
        <v>12.992251226485246</v>
      </c>
      <c r="L48" s="32">
        <f>AVERAGE(K48:K50)</f>
        <v>13.503894475313871</v>
      </c>
      <c r="M48" s="32">
        <f>_xlfn.STDEV.S(K48:K50)</f>
        <v>0.80837520181466438</v>
      </c>
      <c r="N48" s="68" t="s">
        <v>109</v>
      </c>
    </row>
    <row r="49" spans="1:14" x14ac:dyDescent="0.25">
      <c r="A49" s="33"/>
      <c r="B49" s="16">
        <v>2</v>
      </c>
      <c r="C49" s="30">
        <v>4.2</v>
      </c>
      <c r="D49" s="66">
        <f t="shared" si="3"/>
        <v>1.3854411900000002E-3</v>
      </c>
      <c r="E49" s="30">
        <v>35.01</v>
      </c>
      <c r="F49" s="30">
        <v>35.015000000000001</v>
      </c>
      <c r="G49" s="30">
        <v>35.020000000000003</v>
      </c>
      <c r="H49" s="30">
        <v>35.024999999999999</v>
      </c>
      <c r="I49" s="30">
        <v>35.03</v>
      </c>
      <c r="J49" s="30">
        <f t="shared" si="4"/>
        <v>2.0000000000003126E-2</v>
      </c>
      <c r="K49" s="67">
        <f t="shared" si="5"/>
        <v>14.435834696096428</v>
      </c>
      <c r="L49" s="33"/>
      <c r="M49" s="33"/>
      <c r="N49" s="69"/>
    </row>
    <row r="50" spans="1:14" x14ac:dyDescent="0.25">
      <c r="A50" s="34"/>
      <c r="B50" s="16">
        <v>3</v>
      </c>
      <c r="C50" s="30">
        <v>4.3</v>
      </c>
      <c r="D50" s="66">
        <f t="shared" si="3"/>
        <v>1.4521999774999997E-3</v>
      </c>
      <c r="E50" s="30">
        <v>35.090000000000003</v>
      </c>
      <c r="F50" s="30">
        <v>35.094999999999999</v>
      </c>
      <c r="G50" s="30">
        <v>35.1</v>
      </c>
      <c r="H50" s="30">
        <v>35.103999999999999</v>
      </c>
      <c r="I50" s="30">
        <v>35.109000000000002</v>
      </c>
      <c r="J50" s="30">
        <f t="shared" si="4"/>
        <v>1.8999999999998352E-2</v>
      </c>
      <c r="K50" s="67">
        <f t="shared" si="5"/>
        <v>13.083597503359936</v>
      </c>
      <c r="L50" s="34"/>
      <c r="M50" s="34"/>
      <c r="N50" s="7"/>
    </row>
    <row r="51" spans="1:14" x14ac:dyDescent="0.25">
      <c r="A51" s="29" t="s">
        <v>116</v>
      </c>
      <c r="B51" s="16">
        <v>1</v>
      </c>
      <c r="C51" s="30">
        <v>4.0999999999999996</v>
      </c>
      <c r="D51" s="66">
        <f t="shared" si="3"/>
        <v>1.3202531974999996E-3</v>
      </c>
      <c r="E51" s="30">
        <v>35.14</v>
      </c>
      <c r="F51" s="30">
        <v>35.143999999999998</v>
      </c>
      <c r="G51" s="30">
        <v>35.146999999999998</v>
      </c>
      <c r="H51" s="30">
        <v>35.151000000000003</v>
      </c>
      <c r="I51" s="30">
        <v>35.154000000000003</v>
      </c>
      <c r="J51" s="30">
        <f t="shared" si="4"/>
        <v>1.4000000000002899E-2</v>
      </c>
      <c r="K51" s="67">
        <f t="shared" si="5"/>
        <v>10.60402658104746</v>
      </c>
      <c r="L51" s="32">
        <f>AVERAGE(K51:K53)</f>
        <v>10.271398385191077</v>
      </c>
      <c r="M51" s="32">
        <f>_xlfn.STDEV.S(K51:K53)</f>
        <v>0.77715149484445223</v>
      </c>
      <c r="N51" s="68" t="s">
        <v>109</v>
      </c>
    </row>
    <row r="52" spans="1:14" x14ac:dyDescent="0.25">
      <c r="A52" s="33"/>
      <c r="B52" s="16">
        <v>2</v>
      </c>
      <c r="C52" s="30">
        <v>4.2</v>
      </c>
      <c r="D52" s="66">
        <f t="shared" si="3"/>
        <v>1.3854411900000002E-3</v>
      </c>
      <c r="E52" s="30">
        <v>35.020000000000003</v>
      </c>
      <c r="F52" s="30">
        <v>35.024000000000001</v>
      </c>
      <c r="G52" s="30">
        <v>35.027999999999999</v>
      </c>
      <c r="H52" s="30">
        <v>35.030999999999999</v>
      </c>
      <c r="I52" s="30">
        <v>35.034999999999997</v>
      </c>
      <c r="J52" s="30">
        <f t="shared" si="4"/>
        <v>1.4999999999993463E-2</v>
      </c>
      <c r="K52" s="67">
        <f t="shared" si="5"/>
        <v>10.82687602206591</v>
      </c>
      <c r="L52" s="33"/>
      <c r="M52" s="33"/>
      <c r="N52" s="69"/>
    </row>
    <row r="53" spans="1:14" x14ac:dyDescent="0.25">
      <c r="A53" s="34"/>
      <c r="B53" s="16">
        <v>3</v>
      </c>
      <c r="C53" s="30">
        <v>4.2</v>
      </c>
      <c r="D53" s="66">
        <f t="shared" si="3"/>
        <v>1.3854411900000002E-3</v>
      </c>
      <c r="E53" s="30">
        <v>35.1</v>
      </c>
      <c r="F53" s="30">
        <v>35.103000000000002</v>
      </c>
      <c r="G53" s="30">
        <v>35.106000000000002</v>
      </c>
      <c r="H53" s="30">
        <v>35.11</v>
      </c>
      <c r="I53" s="30">
        <v>35.113</v>
      </c>
      <c r="J53" s="30">
        <f t="shared" si="4"/>
        <v>1.2999999999998124E-2</v>
      </c>
      <c r="K53" s="67">
        <f t="shared" si="5"/>
        <v>9.3832925524598583</v>
      </c>
      <c r="L53" s="34"/>
      <c r="M53" s="34"/>
      <c r="N53" s="7"/>
    </row>
    <row r="54" spans="1:14" x14ac:dyDescent="0.25">
      <c r="A54" s="29" t="s">
        <v>117</v>
      </c>
      <c r="B54" s="16">
        <v>1</v>
      </c>
      <c r="C54" s="30">
        <v>4.3</v>
      </c>
      <c r="D54" s="66">
        <f t="shared" si="3"/>
        <v>1.4521999774999997E-3</v>
      </c>
      <c r="E54" s="30">
        <v>35.145000000000003</v>
      </c>
      <c r="F54" s="30">
        <v>35.149000000000001</v>
      </c>
      <c r="G54" s="30">
        <v>35.152999999999999</v>
      </c>
      <c r="H54" s="30">
        <v>35.155999999999999</v>
      </c>
      <c r="I54" s="30">
        <v>35.159999999999997</v>
      </c>
      <c r="J54" s="30">
        <f t="shared" si="4"/>
        <v>1.4999999999993463E-2</v>
      </c>
      <c r="K54" s="67">
        <f t="shared" si="5"/>
        <v>10.329155923701608</v>
      </c>
      <c r="L54" s="32">
        <f>AVERAGE(K54:K56)</f>
        <v>10.598565754029993</v>
      </c>
      <c r="M54" s="32">
        <f>_xlfn.STDEV.S(K54:K56)</f>
        <v>0.67011519378810636</v>
      </c>
      <c r="N54" s="68" t="s">
        <v>109</v>
      </c>
    </row>
    <row r="55" spans="1:14" x14ac:dyDescent="0.25">
      <c r="A55" s="33"/>
      <c r="B55" s="16">
        <v>2</v>
      </c>
      <c r="C55" s="30">
        <v>4.0999999999999996</v>
      </c>
      <c r="D55" s="66">
        <f t="shared" si="3"/>
        <v>1.3202531974999996E-3</v>
      </c>
      <c r="E55" s="30">
        <v>35.03</v>
      </c>
      <c r="F55" s="30">
        <v>35.033999999999999</v>
      </c>
      <c r="G55" s="30">
        <v>35.037999999999997</v>
      </c>
      <c r="H55" s="30">
        <v>35.042000000000002</v>
      </c>
      <c r="I55" s="30">
        <v>35.045000000000002</v>
      </c>
      <c r="J55" s="30">
        <f t="shared" si="4"/>
        <v>1.5000000000000568E-2</v>
      </c>
      <c r="K55" s="67">
        <f t="shared" si="5"/>
        <v>11.361457051120357</v>
      </c>
      <c r="L55" s="33"/>
      <c r="M55" s="33"/>
      <c r="N55" s="69"/>
    </row>
    <row r="56" spans="1:14" x14ac:dyDescent="0.25">
      <c r="A56" s="34"/>
      <c r="B56" s="16">
        <v>3</v>
      </c>
      <c r="C56" s="30">
        <v>4.2</v>
      </c>
      <c r="D56" s="66">
        <f t="shared" si="3"/>
        <v>1.3854411900000002E-3</v>
      </c>
      <c r="E56" s="30">
        <v>35.11</v>
      </c>
      <c r="F56" s="30">
        <v>35.113999999999997</v>
      </c>
      <c r="G56" s="30">
        <v>35.116999999999997</v>
      </c>
      <c r="H56" s="30">
        <v>35.121000000000002</v>
      </c>
      <c r="I56" s="30">
        <v>35.124000000000002</v>
      </c>
      <c r="J56" s="30">
        <f t="shared" si="4"/>
        <v>1.4000000000002899E-2</v>
      </c>
      <c r="K56" s="67">
        <f t="shared" si="5"/>
        <v>10.105084287268014</v>
      </c>
      <c r="L56" s="34"/>
      <c r="M56" s="34"/>
      <c r="N56" s="7"/>
    </row>
  </sheetData>
  <mergeCells count="70">
    <mergeCell ref="A54:A56"/>
    <mergeCell ref="L54:L56"/>
    <mergeCell ref="M54:M56"/>
    <mergeCell ref="N54:N56"/>
    <mergeCell ref="A48:A50"/>
    <mergeCell ref="L48:L50"/>
    <mergeCell ref="M48:M50"/>
    <mergeCell ref="N48:N50"/>
    <mergeCell ref="A51:A53"/>
    <mergeCell ref="L51:L53"/>
    <mergeCell ref="M51:M53"/>
    <mergeCell ref="N51:N53"/>
    <mergeCell ref="A42:A44"/>
    <mergeCell ref="L42:L44"/>
    <mergeCell ref="M42:M44"/>
    <mergeCell ref="N42:N44"/>
    <mergeCell ref="A45:A47"/>
    <mergeCell ref="L45:L47"/>
    <mergeCell ref="M45:M47"/>
    <mergeCell ref="N45:N47"/>
    <mergeCell ref="A36:A38"/>
    <mergeCell ref="L36:L38"/>
    <mergeCell ref="M36:M38"/>
    <mergeCell ref="N36:N38"/>
    <mergeCell ref="A39:A41"/>
    <mergeCell ref="L39:L41"/>
    <mergeCell ref="M39:M41"/>
    <mergeCell ref="N39:N41"/>
    <mergeCell ref="A28:L28"/>
    <mergeCell ref="A30:A32"/>
    <mergeCell ref="L30:L32"/>
    <mergeCell ref="M30:M32"/>
    <mergeCell ref="N30:N32"/>
    <mergeCell ref="A33:A35"/>
    <mergeCell ref="L33:L35"/>
    <mergeCell ref="M33:M35"/>
    <mergeCell ref="N33:N35"/>
    <mergeCell ref="A21:A23"/>
    <mergeCell ref="L21:L23"/>
    <mergeCell ref="M21:M23"/>
    <mergeCell ref="N21:N23"/>
    <mergeCell ref="A24:A26"/>
    <mergeCell ref="L24:L26"/>
    <mergeCell ref="M24:M26"/>
    <mergeCell ref="N24:N26"/>
    <mergeCell ref="A15:A17"/>
    <mergeCell ref="L15:L17"/>
    <mergeCell ref="M15:M17"/>
    <mergeCell ref="N15:N17"/>
    <mergeCell ref="A18:A20"/>
    <mergeCell ref="L18:L20"/>
    <mergeCell ref="M18:M20"/>
    <mergeCell ref="N18:N20"/>
    <mergeCell ref="A9:A11"/>
    <mergeCell ref="L9:L11"/>
    <mergeCell ref="M9:M11"/>
    <mergeCell ref="N9:N11"/>
    <mergeCell ref="A12:A14"/>
    <mergeCell ref="L12:L14"/>
    <mergeCell ref="M12:M14"/>
    <mergeCell ref="N12:N14"/>
    <mergeCell ref="A1:N1"/>
    <mergeCell ref="A3:A5"/>
    <mergeCell ref="L3:L5"/>
    <mergeCell ref="M3:M5"/>
    <mergeCell ref="N3:N5"/>
    <mergeCell ref="A6:A8"/>
    <mergeCell ref="L6:L8"/>
    <mergeCell ref="M6:M8"/>
    <mergeCell ref="N6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7EAC-C4BF-4C3C-9926-F4C5677BD593}">
  <dimension ref="A1:H57"/>
  <sheetViews>
    <sheetView workbookViewId="0">
      <selection activeCell="J21" sqref="J21"/>
    </sheetView>
  </sheetViews>
  <sheetFormatPr defaultRowHeight="15" x14ac:dyDescent="0.25"/>
  <sheetData>
    <row r="1" spans="1:8" x14ac:dyDescent="0.25">
      <c r="A1" s="74" t="s">
        <v>67</v>
      </c>
      <c r="B1" s="74"/>
      <c r="C1" s="74"/>
      <c r="D1" s="74"/>
      <c r="E1" s="74"/>
      <c r="F1" s="74"/>
      <c r="G1" s="74"/>
      <c r="H1" s="74"/>
    </row>
    <row r="2" spans="1:8" x14ac:dyDescent="0.25">
      <c r="A2" s="40" t="s">
        <v>1</v>
      </c>
      <c r="B2" s="40" t="s">
        <v>2</v>
      </c>
      <c r="C2" s="40" t="s">
        <v>120</v>
      </c>
      <c r="D2" s="40" t="s">
        <v>87</v>
      </c>
      <c r="E2" s="40" t="s">
        <v>11</v>
      </c>
      <c r="F2" s="40" t="s">
        <v>121</v>
      </c>
      <c r="G2" s="40" t="s">
        <v>87</v>
      </c>
      <c r="H2" s="40" t="s">
        <v>11</v>
      </c>
    </row>
    <row r="3" spans="1:8" x14ac:dyDescent="0.25">
      <c r="A3" s="3" t="s">
        <v>88</v>
      </c>
      <c r="B3" s="19">
        <v>1</v>
      </c>
      <c r="C3" s="42">
        <v>0.3012048192771084</v>
      </c>
      <c r="D3" s="15">
        <f>AVERAGE(C3:C5)</f>
        <v>0.28112449799196781</v>
      </c>
      <c r="E3" s="15">
        <f>_xlfn.STDEV.S(C3:C5)</f>
        <v>9.2019592268189537E-2</v>
      </c>
      <c r="F3" s="42">
        <v>16.666666666666664</v>
      </c>
      <c r="G3" s="15">
        <f>AVERAGE(F3:F5)</f>
        <v>29.296296296296294</v>
      </c>
      <c r="H3" s="15">
        <f>_xlfn.STDEV.S(F3:F5)</f>
        <v>11.025410231909429</v>
      </c>
    </row>
    <row r="4" spans="1:8" x14ac:dyDescent="0.25">
      <c r="A4" s="3"/>
      <c r="B4" s="19">
        <v>2</v>
      </c>
      <c r="C4" s="42">
        <v>0.36144578313253006</v>
      </c>
      <c r="D4" s="24"/>
      <c r="E4" s="15"/>
      <c r="F4" s="42">
        <v>34.222222222222221</v>
      </c>
      <c r="G4" s="24"/>
      <c r="H4" s="15"/>
    </row>
    <row r="5" spans="1:8" x14ac:dyDescent="0.25">
      <c r="A5" s="3"/>
      <c r="B5" s="19">
        <v>3</v>
      </c>
      <c r="C5" s="42">
        <v>0.18072289156626503</v>
      </c>
      <c r="D5" s="24"/>
      <c r="E5" s="15"/>
      <c r="F5" s="42">
        <v>37</v>
      </c>
      <c r="G5" s="24"/>
      <c r="H5" s="15"/>
    </row>
    <row r="6" spans="1:8" x14ac:dyDescent="0.25">
      <c r="A6" s="3" t="s">
        <v>89</v>
      </c>
      <c r="B6" s="19">
        <v>1</v>
      </c>
      <c r="C6" s="42">
        <v>1.0526315789473684</v>
      </c>
      <c r="D6" s="15">
        <f>AVERAGE(C6:C8)</f>
        <v>1.2280701754385965</v>
      </c>
      <c r="E6" s="15">
        <f>_xlfn.STDEV.S(C6:C8)</f>
        <v>0.30386856273138274</v>
      </c>
      <c r="F6" s="42">
        <v>56.666666666666664</v>
      </c>
      <c r="G6" s="15">
        <f>AVERAGE(F6:F8)</f>
        <v>53.555555555555564</v>
      </c>
      <c r="H6" s="15">
        <f>_xlfn.STDEV.S(F6:F8)</f>
        <v>17.761103291278275</v>
      </c>
    </row>
    <row r="7" spans="1:8" x14ac:dyDescent="0.25">
      <c r="A7" s="3"/>
      <c r="B7" s="19">
        <v>2</v>
      </c>
      <c r="C7" s="42">
        <v>1.5789473684210527</v>
      </c>
      <c r="D7" s="24"/>
      <c r="E7" s="15"/>
      <c r="F7" s="42">
        <v>69.555555555555557</v>
      </c>
      <c r="G7" s="24"/>
      <c r="H7" s="15"/>
    </row>
    <row r="8" spans="1:8" x14ac:dyDescent="0.25">
      <c r="A8" s="3"/>
      <c r="B8" s="19">
        <v>3</v>
      </c>
      <c r="C8" s="42">
        <v>1.0526315789473684</v>
      </c>
      <c r="D8" s="24"/>
      <c r="E8" s="15"/>
      <c r="F8" s="42">
        <v>34.444444444444443</v>
      </c>
      <c r="G8" s="24"/>
      <c r="H8" s="15"/>
    </row>
    <row r="9" spans="1:8" x14ac:dyDescent="0.25">
      <c r="A9" s="3" t="s">
        <v>90</v>
      </c>
      <c r="B9" s="19">
        <v>1</v>
      </c>
      <c r="C9" s="42">
        <v>3.333333333333333</v>
      </c>
      <c r="D9" s="15">
        <f>AVERAGE(C9:C11)</f>
        <v>4.1269841269841265</v>
      </c>
      <c r="E9" s="15">
        <f>_xlfn.STDEV.S(C9:C11)</f>
        <v>0.72739296745330995</v>
      </c>
      <c r="F9" s="42">
        <v>114.55555555555554</v>
      </c>
      <c r="G9" s="15">
        <f>AVERAGE(F9:F11)</f>
        <v>199.40740740740739</v>
      </c>
      <c r="H9" s="15">
        <f>_xlfn.STDEV.S(F9:F11)</f>
        <v>81.179600713581053</v>
      </c>
    </row>
    <row r="10" spans="1:8" x14ac:dyDescent="0.25">
      <c r="A10" s="3"/>
      <c r="B10" s="19">
        <v>2</v>
      </c>
      <c r="C10" s="42">
        <v>4.2857142857142856</v>
      </c>
      <c r="D10" s="24"/>
      <c r="E10" s="15"/>
      <c r="F10" s="42">
        <v>207.33333333333331</v>
      </c>
      <c r="G10" s="24"/>
      <c r="H10" s="15"/>
    </row>
    <row r="11" spans="1:8" x14ac:dyDescent="0.25">
      <c r="A11" s="3"/>
      <c r="B11" s="19">
        <v>3</v>
      </c>
      <c r="C11" s="42">
        <v>4.7619047619047619</v>
      </c>
      <c r="D11" s="24"/>
      <c r="E11" s="15"/>
      <c r="F11" s="42">
        <v>276.33333333333331</v>
      </c>
      <c r="G11" s="24"/>
      <c r="H11" s="15"/>
    </row>
    <row r="12" spans="1:8" x14ac:dyDescent="0.25">
      <c r="A12" s="3" t="s">
        <v>91</v>
      </c>
      <c r="B12" s="19">
        <v>1</v>
      </c>
      <c r="C12" s="42">
        <v>1.7699115044247786</v>
      </c>
      <c r="D12" s="15">
        <f>AVERAGE(C12:C14)</f>
        <v>1.4749262536873156</v>
      </c>
      <c r="E12" s="15">
        <f>_xlfn.STDEV.S(C12:C14)</f>
        <v>0.51092944176073074</v>
      </c>
      <c r="F12" s="42">
        <v>71.111111111111114</v>
      </c>
      <c r="G12" s="15">
        <f>AVERAGE(F12:F14)</f>
        <v>62.55555555555555</v>
      </c>
      <c r="H12" s="15">
        <f>_xlfn.STDEV.S(F12:F14)</f>
        <v>8.1943973633299425</v>
      </c>
    </row>
    <row r="13" spans="1:8" x14ac:dyDescent="0.25">
      <c r="A13" s="3"/>
      <c r="B13" s="19">
        <v>2</v>
      </c>
      <c r="C13" s="42">
        <v>1.7699115044247786</v>
      </c>
      <c r="D13" s="24"/>
      <c r="E13" s="15"/>
      <c r="F13" s="42">
        <v>61.777777777777779</v>
      </c>
      <c r="G13" s="24"/>
      <c r="H13" s="15"/>
    </row>
    <row r="14" spans="1:8" x14ac:dyDescent="0.25">
      <c r="A14" s="3"/>
      <c r="B14" s="19">
        <v>3</v>
      </c>
      <c r="C14" s="42">
        <v>0.88495575221238931</v>
      </c>
      <c r="D14" s="24"/>
      <c r="E14" s="15"/>
      <c r="F14" s="42">
        <v>54.777777777777771</v>
      </c>
      <c r="G14" s="24"/>
      <c r="H14" s="15"/>
    </row>
    <row r="15" spans="1:8" x14ac:dyDescent="0.25">
      <c r="A15" s="3" t="s">
        <v>92</v>
      </c>
      <c r="B15" s="19">
        <v>1</v>
      </c>
      <c r="C15" s="42">
        <v>1.8656716417910446</v>
      </c>
      <c r="D15" s="15">
        <f>AVERAGE(C15:C17)</f>
        <v>1.6169154228855718</v>
      </c>
      <c r="E15" s="15">
        <f>_xlfn.STDEV.S(C15:C17)</f>
        <v>0.21542920492150447</v>
      </c>
      <c r="F15" s="42">
        <v>113.99999999999999</v>
      </c>
      <c r="G15" s="15">
        <f>AVERAGE(F15:F17)</f>
        <v>139.81481481481481</v>
      </c>
      <c r="H15" s="15">
        <f>_xlfn.STDEV.S(F15:F17)</f>
        <v>28.667169102688607</v>
      </c>
    </row>
    <row r="16" spans="1:8" x14ac:dyDescent="0.25">
      <c r="A16" s="3"/>
      <c r="B16" s="19">
        <v>2</v>
      </c>
      <c r="C16" s="42">
        <v>1.4925373134328357</v>
      </c>
      <c r="D16" s="24"/>
      <c r="E16" s="15"/>
      <c r="F16" s="42">
        <v>170.66666666666666</v>
      </c>
      <c r="G16" s="24"/>
      <c r="H16" s="15"/>
    </row>
    <row r="17" spans="1:8" x14ac:dyDescent="0.25">
      <c r="A17" s="3"/>
      <c r="B17" s="19">
        <v>3</v>
      </c>
      <c r="C17" s="42">
        <v>1.4925373134328357</v>
      </c>
      <c r="D17" s="24"/>
      <c r="E17" s="15"/>
      <c r="F17" s="42">
        <v>134.77777777777777</v>
      </c>
      <c r="G17" s="24"/>
      <c r="H17" s="15"/>
    </row>
    <row r="18" spans="1:8" x14ac:dyDescent="0.25">
      <c r="A18" s="3" t="s">
        <v>93</v>
      </c>
      <c r="B18" s="19">
        <v>1</v>
      </c>
      <c r="C18" s="42">
        <v>0.95238095238095233</v>
      </c>
      <c r="D18" s="15">
        <f>AVERAGE(C18:C20)</f>
        <v>0.7936507936507935</v>
      </c>
      <c r="E18" s="15">
        <f>_xlfn.STDEV.S(C18:C20)</f>
        <v>0.27492869961410821</v>
      </c>
      <c r="F18" s="42">
        <v>104.55555555555556</v>
      </c>
      <c r="G18" s="15">
        <f>AVERAGE(F18:F20)</f>
        <v>72.037037037037052</v>
      </c>
      <c r="H18" s="15">
        <f>_xlfn.STDEV.S(F18:F20)</f>
        <v>31.907531007262566</v>
      </c>
    </row>
    <row r="19" spans="1:8" x14ac:dyDescent="0.25">
      <c r="A19" s="3"/>
      <c r="B19" s="19">
        <v>2</v>
      </c>
      <c r="C19" s="42">
        <v>0.47619047619047616</v>
      </c>
      <c r="D19" s="24"/>
      <c r="E19" s="15"/>
      <c r="F19" s="42">
        <v>40.777777777777779</v>
      </c>
      <c r="G19" s="24"/>
      <c r="H19" s="15"/>
    </row>
    <row r="20" spans="1:8" x14ac:dyDescent="0.25">
      <c r="A20" s="3"/>
      <c r="B20" s="19">
        <v>3</v>
      </c>
      <c r="C20" s="42">
        <v>0.95238095238095233</v>
      </c>
      <c r="D20" s="24"/>
      <c r="E20" s="15"/>
      <c r="F20" s="42">
        <v>70.777777777777786</v>
      </c>
      <c r="G20" s="24"/>
      <c r="H20" s="15"/>
    </row>
    <row r="21" spans="1:8" x14ac:dyDescent="0.25">
      <c r="A21" s="3" t="s">
        <v>94</v>
      </c>
      <c r="B21" s="19">
        <v>1</v>
      </c>
      <c r="C21" s="42">
        <v>2.6086956521739126</v>
      </c>
      <c r="D21" s="15">
        <f>AVERAGE(C21:C23)</f>
        <v>2.0289855072463765</v>
      </c>
      <c r="E21" s="15">
        <f>_xlfn.STDEV.S(C21:C23)</f>
        <v>0.50204371233880329</v>
      </c>
      <c r="F21" s="42">
        <v>55.777777777777779</v>
      </c>
      <c r="G21" s="15">
        <f>AVERAGE(F21:F23)</f>
        <v>66.851851851851848</v>
      </c>
      <c r="H21" s="15">
        <f>_xlfn.STDEV.S(F21:F23)</f>
        <v>13.190125998955148</v>
      </c>
    </row>
    <row r="22" spans="1:8" x14ac:dyDescent="0.25">
      <c r="A22" s="3"/>
      <c r="B22" s="19">
        <v>2</v>
      </c>
      <c r="C22" s="42">
        <v>1.7391304347826084</v>
      </c>
      <c r="D22" s="24"/>
      <c r="E22" s="15"/>
      <c r="F22" s="42">
        <v>81.444444444444443</v>
      </c>
      <c r="G22" s="24"/>
      <c r="H22" s="15"/>
    </row>
    <row r="23" spans="1:8" x14ac:dyDescent="0.25">
      <c r="A23" s="3"/>
      <c r="B23" s="19">
        <v>3</v>
      </c>
      <c r="C23" s="42">
        <v>1.7391304347826084</v>
      </c>
      <c r="D23" s="24"/>
      <c r="E23" s="15"/>
      <c r="F23" s="42">
        <v>63.333333333333329</v>
      </c>
      <c r="G23" s="24"/>
      <c r="H23" s="15"/>
    </row>
    <row r="24" spans="1:8" x14ac:dyDescent="0.25">
      <c r="A24" s="3" t="s">
        <v>95</v>
      </c>
      <c r="B24" s="19">
        <v>1</v>
      </c>
      <c r="C24" s="42">
        <v>2.6315789473684212</v>
      </c>
      <c r="D24" s="15">
        <f>AVERAGE(C24:C26)</f>
        <v>2.2807017543859645</v>
      </c>
      <c r="E24" s="15">
        <f>_xlfn.STDEV.S(C24:C26)</f>
        <v>0.30386856273138635</v>
      </c>
      <c r="F24" s="42">
        <v>66.111111111111114</v>
      </c>
      <c r="G24" s="15">
        <f>AVERAGE(F24:F26)</f>
        <v>104.85185185185185</v>
      </c>
      <c r="H24" s="15">
        <f>_xlfn.STDEV.S(F24:F26)</f>
        <v>38.232772015210685</v>
      </c>
    </row>
    <row r="25" spans="1:8" x14ac:dyDescent="0.25">
      <c r="A25" s="3"/>
      <c r="B25" s="19">
        <v>2</v>
      </c>
      <c r="C25" s="42">
        <v>2.1052631578947367</v>
      </c>
      <c r="D25" s="24"/>
      <c r="E25" s="15"/>
      <c r="F25" s="42">
        <v>105.88888888888887</v>
      </c>
      <c r="G25" s="24"/>
      <c r="H25" s="15"/>
    </row>
    <row r="26" spans="1:8" x14ac:dyDescent="0.25">
      <c r="A26" s="3"/>
      <c r="B26" s="19">
        <v>3</v>
      </c>
      <c r="C26" s="42">
        <v>2.1052631578947367</v>
      </c>
      <c r="D26" s="24"/>
      <c r="E26" s="15"/>
      <c r="F26" s="42">
        <v>142.55555555555557</v>
      </c>
      <c r="G26" s="24"/>
      <c r="H26" s="15"/>
    </row>
    <row r="29" spans="1:8" x14ac:dyDescent="0.25">
      <c r="A29" s="74" t="s">
        <v>76</v>
      </c>
      <c r="B29" s="74"/>
      <c r="C29" s="74"/>
      <c r="D29" s="74"/>
      <c r="E29" s="74"/>
      <c r="F29" s="74"/>
      <c r="G29" s="74"/>
      <c r="H29" s="74"/>
    </row>
    <row r="30" spans="1:8" x14ac:dyDescent="0.25">
      <c r="A30" s="19" t="s">
        <v>1</v>
      </c>
      <c r="B30" s="19" t="s">
        <v>2</v>
      </c>
      <c r="C30" s="19" t="s">
        <v>120</v>
      </c>
      <c r="D30" s="19" t="s">
        <v>87</v>
      </c>
      <c r="E30" s="19" t="s">
        <v>11</v>
      </c>
      <c r="F30" s="19" t="s">
        <v>121</v>
      </c>
      <c r="G30" s="19" t="s">
        <v>87</v>
      </c>
      <c r="H30" s="19" t="s">
        <v>11</v>
      </c>
    </row>
    <row r="31" spans="1:8" x14ac:dyDescent="0.25">
      <c r="A31" s="3" t="s">
        <v>122</v>
      </c>
      <c r="B31" s="19">
        <v>1</v>
      </c>
      <c r="C31" s="70">
        <v>0.93750000000000011</v>
      </c>
      <c r="D31" s="15">
        <f>AVERAGE(C31:C33)</f>
        <v>0.89583333333333348</v>
      </c>
      <c r="E31" s="15">
        <f>_xlfn.STDEV.S(C31:C33)</f>
        <v>0.66764251495675253</v>
      </c>
      <c r="F31" s="70">
        <v>38</v>
      </c>
      <c r="G31" s="15">
        <f>AVERAGE(F31:F33)</f>
        <v>38.592592592592595</v>
      </c>
      <c r="H31" s="15">
        <f>_xlfn.STDEV.S(F31:F33)</f>
        <v>7.4621128088508568</v>
      </c>
    </row>
    <row r="32" spans="1:8" x14ac:dyDescent="0.25">
      <c r="A32" s="3"/>
      <c r="B32" s="19">
        <v>2</v>
      </c>
      <c r="C32" s="70">
        <v>1.5416666666666667</v>
      </c>
      <c r="D32" s="24"/>
      <c r="E32" s="15"/>
      <c r="F32" s="70">
        <v>46.333333333333336</v>
      </c>
      <c r="G32" s="24"/>
      <c r="H32" s="15"/>
    </row>
    <row r="33" spans="1:8" x14ac:dyDescent="0.25">
      <c r="A33" s="3"/>
      <c r="B33" s="19">
        <v>3</v>
      </c>
      <c r="C33" s="70">
        <v>0.20833333333333334</v>
      </c>
      <c r="D33" s="24"/>
      <c r="E33" s="15"/>
      <c r="F33" s="70">
        <v>31.444444444444446</v>
      </c>
      <c r="G33" s="24"/>
      <c r="H33" s="15"/>
    </row>
    <row r="34" spans="1:8" x14ac:dyDescent="0.25">
      <c r="A34" s="3" t="s">
        <v>123</v>
      </c>
      <c r="B34" s="19">
        <v>1</v>
      </c>
      <c r="C34" s="70">
        <v>0.95238095238095233</v>
      </c>
      <c r="D34" s="15">
        <f>AVERAGE(C34:C36)</f>
        <v>0.95238095238095222</v>
      </c>
      <c r="E34" s="15">
        <f>_xlfn.STDEV.S(C34:C36)</f>
        <v>1.3597399555105182E-16</v>
      </c>
      <c r="F34" s="70">
        <v>88.888888888888886</v>
      </c>
      <c r="G34" s="15">
        <f>AVERAGE(F34:F36)</f>
        <v>87.629629629629633</v>
      </c>
      <c r="H34" s="15">
        <f>_xlfn.STDEV.S(F34:F36)</f>
        <v>3.1920683594689243</v>
      </c>
    </row>
    <row r="35" spans="1:8" x14ac:dyDescent="0.25">
      <c r="A35" s="3"/>
      <c r="B35" s="19">
        <v>2</v>
      </c>
      <c r="C35" s="70">
        <v>0.95238095238095233</v>
      </c>
      <c r="D35" s="24"/>
      <c r="E35" s="15"/>
      <c r="F35" s="70">
        <v>84</v>
      </c>
      <c r="G35" s="24"/>
      <c r="H35" s="15"/>
    </row>
    <row r="36" spans="1:8" x14ac:dyDescent="0.25">
      <c r="A36" s="3"/>
      <c r="B36" s="19">
        <v>3</v>
      </c>
      <c r="C36" s="70">
        <v>0.95238095238095233</v>
      </c>
      <c r="D36" s="24"/>
      <c r="E36" s="15"/>
      <c r="F36" s="70">
        <v>90</v>
      </c>
      <c r="G36" s="24"/>
      <c r="H36" s="15"/>
    </row>
    <row r="37" spans="1:8" x14ac:dyDescent="0.25">
      <c r="A37" s="3" t="s">
        <v>124</v>
      </c>
      <c r="B37" s="19">
        <v>1</v>
      </c>
      <c r="C37" s="70">
        <v>3.3333333333333335</v>
      </c>
      <c r="D37" s="15">
        <f>AVERAGE(C37:C39)</f>
        <v>3.1111111111111112</v>
      </c>
      <c r="E37" s="15">
        <f>_xlfn.STDEV.S(C37:C39)</f>
        <v>0.38490017945974908</v>
      </c>
      <c r="F37" s="70">
        <v>366.55555555555554</v>
      </c>
      <c r="G37" s="15">
        <f>AVERAGE(F37:F39)</f>
        <v>305.62962962962962</v>
      </c>
      <c r="H37" s="15">
        <f>_xlfn.STDEV.S(F37:F39)</f>
        <v>71.292679080919527</v>
      </c>
    </row>
    <row r="38" spans="1:8" x14ac:dyDescent="0.25">
      <c r="A38" s="3"/>
      <c r="B38" s="19">
        <v>2</v>
      </c>
      <c r="C38" s="70">
        <v>3.3333333333333335</v>
      </c>
      <c r="D38" s="24"/>
      <c r="E38" s="15"/>
      <c r="F38" s="70">
        <v>227.22222222222223</v>
      </c>
      <c r="G38" s="24"/>
      <c r="H38" s="15"/>
    </row>
    <row r="39" spans="1:8" x14ac:dyDescent="0.25">
      <c r="A39" s="3"/>
      <c r="B39" s="19">
        <v>3</v>
      </c>
      <c r="C39" s="70">
        <v>2.6666666666666665</v>
      </c>
      <c r="D39" s="24"/>
      <c r="E39" s="15"/>
      <c r="F39" s="70">
        <v>323.11111111111114</v>
      </c>
      <c r="G39" s="24"/>
      <c r="H39" s="15"/>
    </row>
    <row r="40" spans="1:8" x14ac:dyDescent="0.25">
      <c r="A40" s="3" t="s">
        <v>97</v>
      </c>
      <c r="B40" s="19">
        <v>1</v>
      </c>
      <c r="C40" s="70">
        <v>2.1052631578947367</v>
      </c>
      <c r="D40" s="15">
        <f>AVERAGE(C40:C42)</f>
        <v>2.1052631578947367</v>
      </c>
      <c r="E40" s="15">
        <f>_xlfn.STDEV.S(C40:C42)</f>
        <v>0</v>
      </c>
      <c r="F40" s="70">
        <v>128.66666666666666</v>
      </c>
      <c r="G40" s="15">
        <f>AVERAGE(F40:F42)</f>
        <v>139.4814814814815</v>
      </c>
      <c r="H40" s="15">
        <f>_xlfn.STDEV.S(F40:F42)</f>
        <v>18.731808733707755</v>
      </c>
    </row>
    <row r="41" spans="1:8" x14ac:dyDescent="0.25">
      <c r="A41" s="3"/>
      <c r="B41" s="19">
        <v>2</v>
      </c>
      <c r="C41" s="70">
        <v>2.1052631578947367</v>
      </c>
      <c r="D41" s="24"/>
      <c r="E41" s="15"/>
      <c r="F41" s="70">
        <v>161.11111111111111</v>
      </c>
      <c r="G41" s="24"/>
      <c r="H41" s="15"/>
    </row>
    <row r="42" spans="1:8" x14ac:dyDescent="0.25">
      <c r="A42" s="3"/>
      <c r="B42" s="19">
        <v>3</v>
      </c>
      <c r="C42" s="70">
        <v>2.1052631578947367</v>
      </c>
      <c r="D42" s="24"/>
      <c r="E42" s="15"/>
      <c r="F42" s="70">
        <v>128.66666666666666</v>
      </c>
      <c r="G42" s="24"/>
      <c r="H42" s="15"/>
    </row>
    <row r="43" spans="1:8" x14ac:dyDescent="0.25">
      <c r="A43" s="3" t="s">
        <v>125</v>
      </c>
      <c r="B43" s="19">
        <v>1</v>
      </c>
      <c r="C43" s="70">
        <v>0.83333333333333337</v>
      </c>
      <c r="D43" s="15">
        <f>AVERAGE(C43:C45)</f>
        <v>1.1111111111111112</v>
      </c>
      <c r="E43" s="15">
        <f>_xlfn.STDEV.S(C40:C42)</f>
        <v>0</v>
      </c>
      <c r="F43" s="70">
        <v>42.55555555555555</v>
      </c>
      <c r="G43" s="15">
        <f>AVERAGE(F43:F45)</f>
        <v>50.222222222222221</v>
      </c>
      <c r="H43" s="15">
        <f>_xlfn.STDEV.S(F43:F45)</f>
        <v>7.2631319979574167</v>
      </c>
    </row>
    <row r="44" spans="1:8" x14ac:dyDescent="0.25">
      <c r="A44" s="3"/>
      <c r="B44" s="19">
        <v>2</v>
      </c>
      <c r="C44" s="70">
        <v>1.6666666666666667</v>
      </c>
      <c r="D44" s="24"/>
      <c r="E44" s="15"/>
      <c r="F44" s="70">
        <v>56.999999999999993</v>
      </c>
      <c r="G44" s="24"/>
      <c r="H44" s="15"/>
    </row>
    <row r="45" spans="1:8" x14ac:dyDescent="0.25">
      <c r="A45" s="3"/>
      <c r="B45" s="19">
        <v>3</v>
      </c>
      <c r="C45" s="70">
        <v>0.83333333333333337</v>
      </c>
      <c r="D45" s="24"/>
      <c r="E45" s="15"/>
      <c r="F45" s="70">
        <v>51.111111111111107</v>
      </c>
      <c r="G45" s="24"/>
      <c r="H45" s="15"/>
    </row>
    <row r="46" spans="1:8" x14ac:dyDescent="0.25">
      <c r="A46" s="29" t="s">
        <v>126</v>
      </c>
      <c r="B46" s="19">
        <v>1</v>
      </c>
      <c r="C46" s="70">
        <v>2.1428571428571428</v>
      </c>
      <c r="D46" s="71">
        <f>AVERAGE(C46:C48)</f>
        <v>1.9047619047619044</v>
      </c>
      <c r="E46" s="71">
        <f>_xlfn.STDEV.S(C43:C45)</f>
        <v>0.48112522432468807</v>
      </c>
      <c r="F46" s="70">
        <v>113.33333333333333</v>
      </c>
      <c r="G46" s="71">
        <f>AVERAGE(F46:F48)</f>
        <v>94.407407407407405</v>
      </c>
      <c r="H46" s="71">
        <f>_xlfn.STDEV.S(F46:F48)</f>
        <v>20.346484312242001</v>
      </c>
    </row>
    <row r="47" spans="1:8" x14ac:dyDescent="0.25">
      <c r="A47" s="33"/>
      <c r="B47" s="19">
        <v>2</v>
      </c>
      <c r="C47" s="70">
        <v>1.4285714285714284</v>
      </c>
      <c r="D47" s="72"/>
      <c r="E47" s="72"/>
      <c r="F47" s="70">
        <v>72.888888888888886</v>
      </c>
      <c r="G47" s="72"/>
      <c r="H47" s="72"/>
    </row>
    <row r="48" spans="1:8" x14ac:dyDescent="0.25">
      <c r="A48" s="34"/>
      <c r="B48" s="19">
        <v>3</v>
      </c>
      <c r="C48" s="70">
        <v>2.1428571428571428</v>
      </c>
      <c r="D48" s="73"/>
      <c r="E48" s="73"/>
      <c r="F48" s="70">
        <v>97</v>
      </c>
      <c r="G48" s="73"/>
      <c r="H48" s="73"/>
    </row>
    <row r="49" spans="1:8" x14ac:dyDescent="0.25">
      <c r="A49" s="29" t="s">
        <v>127</v>
      </c>
      <c r="B49" s="19">
        <v>1</v>
      </c>
      <c r="C49" s="70">
        <v>1.3698630136986301</v>
      </c>
      <c r="D49" s="71">
        <f>AVERAGE(C49:C51)</f>
        <v>1.3698630136986301</v>
      </c>
      <c r="E49" s="71">
        <f>_xlfn.STDEV.S(C46:C48)</f>
        <v>0.41239304942116178</v>
      </c>
      <c r="F49" s="70">
        <v>63.666666666666657</v>
      </c>
      <c r="G49" s="71">
        <f>AVERAGE(F49:F51)</f>
        <v>63.81481481481481</v>
      </c>
      <c r="H49" s="71">
        <f>_xlfn.STDEV.S(F49:F51)</f>
        <v>27.22252456370277</v>
      </c>
    </row>
    <row r="50" spans="1:8" x14ac:dyDescent="0.25">
      <c r="A50" s="33"/>
      <c r="B50" s="19">
        <v>2</v>
      </c>
      <c r="C50" s="70">
        <v>1.3698630136986301</v>
      </c>
      <c r="D50" s="72"/>
      <c r="E50" s="72"/>
      <c r="F50" s="70">
        <v>36.666666666666664</v>
      </c>
      <c r="G50" s="72"/>
      <c r="H50" s="72"/>
    </row>
    <row r="51" spans="1:8" x14ac:dyDescent="0.25">
      <c r="A51" s="34"/>
      <c r="B51" s="19">
        <v>3</v>
      </c>
      <c r="C51" s="70">
        <v>1.3698630136986301</v>
      </c>
      <c r="D51" s="73"/>
      <c r="E51" s="73"/>
      <c r="F51" s="70">
        <v>91.111111111111114</v>
      </c>
      <c r="G51" s="73"/>
      <c r="H51" s="73"/>
    </row>
    <row r="52" spans="1:8" x14ac:dyDescent="0.25">
      <c r="A52" s="29" t="s">
        <v>128</v>
      </c>
      <c r="B52" s="19">
        <v>1</v>
      </c>
      <c r="C52" s="70">
        <v>0.50505050505050508</v>
      </c>
      <c r="D52" s="71">
        <f>AVERAGE(C52:C54)</f>
        <v>0.50505050505050508</v>
      </c>
      <c r="E52" s="71">
        <f>_xlfn.STDEV.S(C49:C51)</f>
        <v>0</v>
      </c>
      <c r="F52" s="70">
        <v>45.555555555555557</v>
      </c>
      <c r="G52" s="71">
        <f>AVERAGE(F52:F54)</f>
        <v>40.111111111111107</v>
      </c>
      <c r="H52" s="71">
        <f>_xlfn.STDEV.S(F52:F54)</f>
        <v>9.7201585111293998</v>
      </c>
    </row>
    <row r="53" spans="1:8" x14ac:dyDescent="0.25">
      <c r="A53" s="33"/>
      <c r="B53" s="19">
        <v>2</v>
      </c>
      <c r="C53" s="70">
        <v>0.50505050505050508</v>
      </c>
      <c r="D53" s="72"/>
      <c r="E53" s="72"/>
      <c r="F53" s="70">
        <v>28.888888888888886</v>
      </c>
      <c r="G53" s="72"/>
      <c r="H53" s="72"/>
    </row>
    <row r="54" spans="1:8" x14ac:dyDescent="0.25">
      <c r="A54" s="34"/>
      <c r="B54" s="19">
        <v>3</v>
      </c>
      <c r="C54" s="70">
        <v>0.50505050505050508</v>
      </c>
      <c r="D54" s="73"/>
      <c r="E54" s="73"/>
      <c r="F54" s="70">
        <v>45.888888888888886</v>
      </c>
      <c r="G54" s="73"/>
      <c r="H54" s="73"/>
    </row>
    <row r="55" spans="1:8" x14ac:dyDescent="0.25">
      <c r="A55" s="29" t="s">
        <v>129</v>
      </c>
      <c r="B55" s="19">
        <v>1</v>
      </c>
      <c r="C55" s="19">
        <v>0.92592592592592582</v>
      </c>
      <c r="D55" s="71">
        <f>AVERAGE(C55:C57)</f>
        <v>0.92592592592592593</v>
      </c>
      <c r="E55" s="71">
        <f>_xlfn.STDEV.S(C52:C54)</f>
        <v>0</v>
      </c>
      <c r="F55" s="70">
        <v>53</v>
      </c>
      <c r="G55" s="71">
        <f>AVERAGE(F55:F57)</f>
        <v>57.407407407407412</v>
      </c>
      <c r="H55" s="71">
        <f>_xlfn.STDEV.S(F55:F57)</f>
        <v>7.0643718612654238</v>
      </c>
    </row>
    <row r="56" spans="1:8" x14ac:dyDescent="0.25">
      <c r="A56" s="33"/>
      <c r="B56" s="19">
        <v>2</v>
      </c>
      <c r="C56" s="19">
        <v>0.92592592592592582</v>
      </c>
      <c r="D56" s="72"/>
      <c r="E56" s="72"/>
      <c r="F56" s="70">
        <v>53.666666666666664</v>
      </c>
      <c r="G56" s="72"/>
      <c r="H56" s="72"/>
    </row>
    <row r="57" spans="1:8" x14ac:dyDescent="0.25">
      <c r="A57" s="34"/>
      <c r="B57" s="19">
        <v>3</v>
      </c>
      <c r="C57" s="19">
        <v>0.92592592592592582</v>
      </c>
      <c r="D57" s="73"/>
      <c r="E57" s="73"/>
      <c r="F57" s="70">
        <v>65.555555555555557</v>
      </c>
      <c r="G57" s="73"/>
      <c r="H57" s="73"/>
    </row>
  </sheetData>
  <mergeCells count="87">
    <mergeCell ref="A1:H1"/>
    <mergeCell ref="A29:H29"/>
    <mergeCell ref="A52:A54"/>
    <mergeCell ref="D52:D54"/>
    <mergeCell ref="E52:E54"/>
    <mergeCell ref="G52:G54"/>
    <mergeCell ref="H52:H54"/>
    <mergeCell ref="A55:A57"/>
    <mergeCell ref="D55:D57"/>
    <mergeCell ref="E55:E57"/>
    <mergeCell ref="G55:G57"/>
    <mergeCell ref="H55:H57"/>
    <mergeCell ref="A46:A48"/>
    <mergeCell ref="D46:D48"/>
    <mergeCell ref="E46:E48"/>
    <mergeCell ref="G46:G48"/>
    <mergeCell ref="H46:H48"/>
    <mergeCell ref="A49:A51"/>
    <mergeCell ref="D49:D51"/>
    <mergeCell ref="E49:E51"/>
    <mergeCell ref="G49:G51"/>
    <mergeCell ref="H49:H51"/>
    <mergeCell ref="A40:A42"/>
    <mergeCell ref="D40:D42"/>
    <mergeCell ref="E40:E42"/>
    <mergeCell ref="G40:G42"/>
    <mergeCell ref="H40:H42"/>
    <mergeCell ref="A43:A45"/>
    <mergeCell ref="D43:D45"/>
    <mergeCell ref="E43:E45"/>
    <mergeCell ref="G43:G45"/>
    <mergeCell ref="H43:H45"/>
    <mergeCell ref="A34:A36"/>
    <mergeCell ref="D34:D36"/>
    <mergeCell ref="E34:E36"/>
    <mergeCell ref="G34:G36"/>
    <mergeCell ref="H34:H36"/>
    <mergeCell ref="A37:A39"/>
    <mergeCell ref="D37:D39"/>
    <mergeCell ref="E37:E39"/>
    <mergeCell ref="G37:G39"/>
    <mergeCell ref="H37:H39"/>
    <mergeCell ref="A24:A26"/>
    <mergeCell ref="D24:D26"/>
    <mergeCell ref="E24:E26"/>
    <mergeCell ref="G24:G26"/>
    <mergeCell ref="H24:H26"/>
    <mergeCell ref="A31:A33"/>
    <mergeCell ref="D31:D33"/>
    <mergeCell ref="E31:E33"/>
    <mergeCell ref="G31:G33"/>
    <mergeCell ref="H31:H33"/>
    <mergeCell ref="A18:A20"/>
    <mergeCell ref="D18:D20"/>
    <mergeCell ref="E18:E20"/>
    <mergeCell ref="G18:G20"/>
    <mergeCell ref="H18:H20"/>
    <mergeCell ref="A21:A23"/>
    <mergeCell ref="D21:D23"/>
    <mergeCell ref="E21:E23"/>
    <mergeCell ref="G21:G23"/>
    <mergeCell ref="H21:H23"/>
    <mergeCell ref="A12:A14"/>
    <mergeCell ref="D12:D14"/>
    <mergeCell ref="E12:E14"/>
    <mergeCell ref="G12:G14"/>
    <mergeCell ref="H12:H14"/>
    <mergeCell ref="A15:A17"/>
    <mergeCell ref="D15:D17"/>
    <mergeCell ref="E15:E17"/>
    <mergeCell ref="G15:G17"/>
    <mergeCell ref="H15:H17"/>
    <mergeCell ref="A6:A8"/>
    <mergeCell ref="D6:D8"/>
    <mergeCell ref="E6:E8"/>
    <mergeCell ref="G6:G8"/>
    <mergeCell ref="H6:H8"/>
    <mergeCell ref="A9:A11"/>
    <mergeCell ref="D9:D11"/>
    <mergeCell ref="E9:E11"/>
    <mergeCell ref="G9:G11"/>
    <mergeCell ref="H9:H11"/>
    <mergeCell ref="A3:A5"/>
    <mergeCell ref="D3:D5"/>
    <mergeCell ref="E3:E5"/>
    <mergeCell ref="G3:G5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717-5FBA-4B57-9DE2-3C10F1993D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Kelarutan Matriks</vt:lpstr>
      <vt:lpstr>Opasitas</vt:lpstr>
      <vt:lpstr>Solubilitas</vt:lpstr>
      <vt:lpstr>WVTR</vt:lpstr>
      <vt:lpstr>UTS &amp; elong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</dc:creator>
  <cp:lastModifiedBy>MR. S</cp:lastModifiedBy>
  <dcterms:created xsi:type="dcterms:W3CDTF">2026-09-03T05:52:38Z</dcterms:created>
  <dcterms:modified xsi:type="dcterms:W3CDTF">2026-09-03T07:13:48Z</dcterms:modified>
</cp:coreProperties>
</file>